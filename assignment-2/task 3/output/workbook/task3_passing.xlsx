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(n=450)" sheetId="2" state="visible" r:id="rId4"/>
    <sheet name="Sample (n=60)" sheetId="3" state="visible" r:id="rId5"/>
    <sheet name="Descriptive Stats" sheetId="4" state="visible" r:id="rId6"/>
    <sheet name="Inferential Stats" sheetId="5" state="visible" r:id="rId7"/>
    <sheet name="Answer Cha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<sst xmlns="http://schemas.openxmlformats.org/spreadsheetml/2006/main" count="1593" uniqueCount="557">
  <si>
    <t xml:space="preserve">Task 3 — Passing / Distribution</t>
  </si>
  <si>
    <t xml:space="preserve">Author: Sudip Sunar (S398629)</t>
  </si>
  <si>
    <t xml:space="preserve">Analytic question</t>
  </si>
  <si>
    <t xml:space="preserve">Did players from the two 2026 FIFA World Cup finalist teams (Spain and Argentina — Spain won the final 1-0 after extra time) achieve a significantly higher pass completion rate (Cmp%) than players from teams that did not reach the final?</t>
  </si>
  <si>
    <t xml:space="preserve">Data source</t>
  </si>
  <si>
    <t xml:space="preserve">FIFA's official Player Statistics page for the 2026 FIFA World Cup (Distribution → Passes): fifa.com/en/tournaments/mens/worldcup/canadamexicousa2026/statistics/player-statistics?group=gcp_distribution&amp;stat=passes</t>
  </si>
  <si>
    <t xml:space="preserve">Originally planned to use FBref's Passing table; FBref sits behind a Cloudflare bot-verification CAPTCHA that was not solved programmatically, so the real per-player figures were pulled from FIFA's own official stats page instead — same tournament, same core statistic (passes attempted + accuracy %).</t>
  </si>
  <si>
    <t xml:space="preserve">Method</t>
  </si>
  <si>
    <t xml:space="preserve">1. Data wrangling — drop missing values and duplicate player/squad rows; drop players with fewer than 20 passes attempted (stand-in for a minutes-played filter, since FIFA's table does not expose minutes/90s).</t>
  </si>
  <si>
    <t xml:space="preserve">2. Sampling — split into Finalist (ESP, ARG) vs Non-finalist; simple random sample of up to 30 players per group (seed = 398629, student ID).</t>
  </si>
  <si>
    <t xml:space="preserve">3. Descriptive statistics — mean, median, std dev, min, max Cmp% per group.</t>
  </si>
  <si>
    <t xml:space="preserve">4. 95% CI for the difference in mean Cmp% (Welch-Satterthwaite).</t>
  </si>
  <si>
    <t xml:space="preserve">5. Welch's two-sample t-test (unequal variances), alpha = 0.05.</t>
  </si>
  <si>
    <t xml:space="preserve">How this workbook is built</t>
  </si>
  <si>
    <t xml:space="preserve">'Data (n=450)' holds the full wrangled population. 'Sample (n=60)' holds the exact 30+30 random draw analysed (Finalist rows first, then Non-finalist, so every downstream formula can reference a plain range). 'Descriptive Stats' and 'Inferential Stats' compute everything live with formulas over the Sample sheet — change a Cmp_pct value there and every number recalculates.</t>
  </si>
  <si>
    <t xml:space="preserve">Player</t>
  </si>
  <si>
    <t xml:space="preserve">Squad</t>
  </si>
  <si>
    <t xml:space="preserve">Pos</t>
  </si>
  <si>
    <t xml:space="preserve">Att</t>
  </si>
  <si>
    <t xml:space="preserve">Cmp_pct</t>
  </si>
  <si>
    <t xml:space="preserve">Cmp (derived)</t>
  </si>
  <si>
    <t xml:space="preserve">Group</t>
  </si>
  <si>
    <t xml:space="preserve">Alexis Mac Allister</t>
  </si>
  <si>
    <t xml:space="preserve">ARG</t>
  </si>
  <si>
    <t xml:space="preserve">MF</t>
  </si>
  <si>
    <t xml:space="preserve">Cristian Romero</t>
  </si>
  <si>
    <t xml:space="preserve">DF</t>
  </si>
  <si>
    <t xml:space="preserve">Emiliano Martinez</t>
  </si>
  <si>
    <t xml:space="preserve">GK</t>
  </si>
  <si>
    <t xml:space="preserve">Enzo Fernandez</t>
  </si>
  <si>
    <t xml:space="preserve">Exequiel Palacios</t>
  </si>
  <si>
    <t xml:space="preserve">Facundo Medina</t>
  </si>
  <si>
    <t xml:space="preserve">Gonzalo Montiel</t>
  </si>
  <si>
    <t xml:space="preserve">Julian Alvarez</t>
  </si>
  <si>
    <t xml:space="preserve">FW</t>
  </si>
  <si>
    <t xml:space="preserve">Leandro Paredes</t>
  </si>
  <si>
    <t xml:space="preserve">Lionel Messi</t>
  </si>
  <si>
    <t xml:space="preserve">Lisandro Martinez</t>
  </si>
  <si>
    <t xml:space="preserve">Nahuel Molina</t>
  </si>
  <si>
    <t xml:space="preserve">Nico Gonzalez</t>
  </si>
  <si>
    <t xml:space="preserve">Nicolas Otamendi</t>
  </si>
  <si>
    <t xml:space="preserve">Nicolas Tagliafico</t>
  </si>
  <si>
    <t xml:space="preserve">Rodrigo De Paul</t>
  </si>
  <si>
    <t xml:space="preserve">Thiago Almada</t>
  </si>
  <si>
    <t xml:space="preserve">Alex Baena</t>
  </si>
  <si>
    <t xml:space="preserve">ESP</t>
  </si>
  <si>
    <t xml:space="preserve">Aymeric Laporte</t>
  </si>
  <si>
    <t xml:space="preserve">Dani Olmo</t>
  </si>
  <si>
    <t xml:space="preserve">Fabian Ruiz</t>
  </si>
  <si>
    <t xml:space="preserve">Ferran Torres</t>
  </si>
  <si>
    <t xml:space="preserve">Lamine Yamal</t>
  </si>
  <si>
    <t xml:space="preserve">Marc Cucurella</t>
  </si>
  <si>
    <t xml:space="preserve">Marcos Llorente</t>
  </si>
  <si>
    <t xml:space="preserve">Mikel Merino</t>
  </si>
  <si>
    <t xml:space="preserve">Mikel Oyarzabal</t>
  </si>
  <si>
    <t xml:space="preserve">Pau Cubarsi</t>
  </si>
  <si>
    <t xml:space="preserve">Pedri</t>
  </si>
  <si>
    <t xml:space="preserve">Pedro Porro</t>
  </si>
  <si>
    <t xml:space="preserve">Rodri</t>
  </si>
  <si>
    <t xml:space="preserve">Unai Simon</t>
  </si>
  <si>
    <t xml:space="preserve">Aissa Mandi</t>
  </si>
  <si>
    <t xml:space="preserve">ALG</t>
  </si>
  <si>
    <t xml:space="preserve">Fares Chaibi</t>
  </si>
  <si>
    <t xml:space="preserve">Hicham Boudaoui</t>
  </si>
  <si>
    <t xml:space="preserve">Houssem Aouar</t>
  </si>
  <si>
    <t xml:space="preserve">Ibrahim Maza</t>
  </si>
  <si>
    <t xml:space="preserve">Luca Zidane</t>
  </si>
  <si>
    <t xml:space="preserve">Nabil Bentaleb</t>
  </si>
  <si>
    <t xml:space="preserve">Rafik Belghali</t>
  </si>
  <si>
    <t xml:space="preserve">Ramiz Zerrouki</t>
  </si>
  <si>
    <t xml:space="preserve">Ramy Bensebaini</t>
  </si>
  <si>
    <t xml:space="preserve">Rayan Ait Nouri</t>
  </si>
  <si>
    <t xml:space="preserve">Riyad Mahrez</t>
  </si>
  <si>
    <t xml:space="preserve">Aiden Oneill</t>
  </si>
  <si>
    <t xml:space="preserve">AUS</t>
  </si>
  <si>
    <t xml:space="preserve">Alessandro Circati</t>
  </si>
  <si>
    <t xml:space="preserve">Harry Souttar</t>
  </si>
  <si>
    <t xml:space="preserve">Jackson Irvine</t>
  </si>
  <si>
    <t xml:space="preserve">Jordan Bos</t>
  </si>
  <si>
    <t xml:space="preserve">Lucas Herrington</t>
  </si>
  <si>
    <t xml:space="preserve">Patrick Beach</t>
  </si>
  <si>
    <t xml:space="preserve">Paul Okon Engstler</t>
  </si>
  <si>
    <t xml:space="preserve">Alexander Schlager</t>
  </si>
  <si>
    <t xml:space="preserve">AUT</t>
  </si>
  <si>
    <t xml:space="preserve">David Alaba</t>
  </si>
  <si>
    <t xml:space="preserve">Kevin Danso</t>
  </si>
  <si>
    <t xml:space="preserve">Konrad Laimer</t>
  </si>
  <si>
    <t xml:space="preserve">Marcel Sabitzer</t>
  </si>
  <si>
    <t xml:space="preserve">Nicolas Seiwald</t>
  </si>
  <si>
    <t xml:space="preserve">Philipp Lienhart</t>
  </si>
  <si>
    <t xml:space="preserve">Romano Schmid</t>
  </si>
  <si>
    <t xml:space="preserve">Stefan Posch</t>
  </si>
  <si>
    <t xml:space="preserve">Xaver Schlager</t>
  </si>
  <si>
    <t xml:space="preserve">Arthur Theate</t>
  </si>
  <si>
    <t xml:space="preserve">BEL</t>
  </si>
  <si>
    <t xml:space="preserve">Brandon Mechele</t>
  </si>
  <si>
    <t xml:space="preserve">Charles De Ketelaere</t>
  </si>
  <si>
    <t xml:space="preserve">Hans Vanaken</t>
  </si>
  <si>
    <t xml:space="preserve">Jeremy Doku</t>
  </si>
  <si>
    <t xml:space="preserve">Kevin De Bruyne</t>
  </si>
  <si>
    <t xml:space="preserve">Leandro Trossard</t>
  </si>
  <si>
    <t xml:space="preserve">Maxim De Cuyper</t>
  </si>
  <si>
    <t xml:space="preserve">Nathan Ngoy</t>
  </si>
  <si>
    <t xml:space="preserve">Nicolas Raskin</t>
  </si>
  <si>
    <t xml:space="preserve">Thibaut Courtois</t>
  </si>
  <si>
    <t xml:space="preserve">Thomas Meunier</t>
  </si>
  <si>
    <t xml:space="preserve">Timothy Castagne</t>
  </si>
  <si>
    <t xml:space="preserve">Youri Tielemans</t>
  </si>
  <si>
    <t xml:space="preserve">Amar Dedic</t>
  </si>
  <si>
    <t xml:space="preserve">BIH</t>
  </si>
  <si>
    <t xml:space="preserve">Benjamin Tahirovic</t>
  </si>
  <si>
    <t xml:space="preserve">Ivan Basic</t>
  </si>
  <si>
    <t xml:space="preserve">Ivan Sunjic</t>
  </si>
  <si>
    <t xml:space="preserve">Kerim Alajbegovic</t>
  </si>
  <si>
    <t xml:space="preserve">Nikola Katic</t>
  </si>
  <si>
    <t xml:space="preserve">Nikola Vasilj</t>
  </si>
  <si>
    <t xml:space="preserve">Sead Kolasinac</t>
  </si>
  <si>
    <t xml:space="preserve">Stjepan Radeljic</t>
  </si>
  <si>
    <t xml:space="preserve">Tarik Muharemovic</t>
  </si>
  <si>
    <t xml:space="preserve">Alisson</t>
  </si>
  <si>
    <t xml:space="preserve">BRA</t>
  </si>
  <si>
    <t xml:space="preserve">Bruno Guimaraes</t>
  </si>
  <si>
    <t xml:space="preserve">Casemiro</t>
  </si>
  <si>
    <t xml:space="preserve">Danilo</t>
  </si>
  <si>
    <t xml:space="preserve">Douglas Santos</t>
  </si>
  <si>
    <t xml:space="preserve">Gabriel Magalhaes</t>
  </si>
  <si>
    <t xml:space="preserve">Lucas Paqueta</t>
  </si>
  <si>
    <t xml:space="preserve">Marquinhos</t>
  </si>
  <si>
    <t xml:space="preserve">Matheus Cunha</t>
  </si>
  <si>
    <t xml:space="preserve">Rayan</t>
  </si>
  <si>
    <t xml:space="preserve">Vinicius Junior</t>
  </si>
  <si>
    <t xml:space="preserve">Alistair Johnston</t>
  </si>
  <si>
    <t xml:space="preserve">CAN</t>
  </si>
  <si>
    <t xml:space="preserve">Derek Cornelius</t>
  </si>
  <si>
    <t xml:space="preserve">Ismael Kone</t>
  </si>
  <si>
    <t xml:space="preserve">Jonathan David</t>
  </si>
  <si>
    <t xml:space="preserve">Luc De Fougerolles</t>
  </si>
  <si>
    <t xml:space="preserve">Maxime Crepeau</t>
  </si>
  <si>
    <t xml:space="preserve">Moise Bombito</t>
  </si>
  <si>
    <t xml:space="preserve">Nathan Saliba</t>
  </si>
  <si>
    <t xml:space="preserve">Richie Laryea</t>
  </si>
  <si>
    <t xml:space="preserve">Stephen Eustaquio</t>
  </si>
  <si>
    <t xml:space="preserve">Tajon Buchanan</t>
  </si>
  <si>
    <t xml:space="preserve">Christ Inao Oulai</t>
  </si>
  <si>
    <t xml:space="preserve">CIV</t>
  </si>
  <si>
    <t xml:space="preserve">Emmanuel Agbadou</t>
  </si>
  <si>
    <t xml:space="preserve">Franck Kessie</t>
  </si>
  <si>
    <t xml:space="preserve">Ghislain Konan</t>
  </si>
  <si>
    <t xml:space="preserve">Guela Doue</t>
  </si>
  <si>
    <t xml:space="preserve">Ibrahim Sangare</t>
  </si>
  <si>
    <t xml:space="preserve">Nicolas Pepe</t>
  </si>
  <si>
    <t xml:space="preserve">Odilon Kossounou</t>
  </si>
  <si>
    <t xml:space="preserve">Wilfried Singo</t>
  </si>
  <si>
    <t xml:space="preserve">Yahia Fofana</t>
  </si>
  <si>
    <t xml:space="preserve">Yan Diomande</t>
  </si>
  <si>
    <t xml:space="preserve">Aaron Wan Bissaka</t>
  </si>
  <si>
    <t xml:space="preserve">COD</t>
  </si>
  <si>
    <t xml:space="preserve">Arthur Masuaku</t>
  </si>
  <si>
    <t xml:space="preserve">Axel Tuanzebe</t>
  </si>
  <si>
    <t xml:space="preserve">Chancel Mbemba</t>
  </si>
  <si>
    <t xml:space="preserve">Lionel Mpasi</t>
  </si>
  <si>
    <t xml:space="preserve">Noah Sadiki</t>
  </si>
  <si>
    <t xml:space="preserve">Samuel Moutoussamy</t>
  </si>
  <si>
    <t xml:space="preserve">Camilo Vargas</t>
  </si>
  <si>
    <t xml:space="preserve">COL</t>
  </si>
  <si>
    <t xml:space="preserve">Daniel Munoz</t>
  </si>
  <si>
    <t xml:space="preserve">Davinson Sanchez</t>
  </si>
  <si>
    <t xml:space="preserve">Gustavo Puerta</t>
  </si>
  <si>
    <t xml:space="preserve">James Rodriguez</t>
  </si>
  <si>
    <t xml:space="preserve">Jefferson Lerma</t>
  </si>
  <si>
    <t xml:space="preserve">Jhon Arias</t>
  </si>
  <si>
    <t xml:space="preserve">Jhon Lucumi</t>
  </si>
  <si>
    <t xml:space="preserve">Johan Mojica</t>
  </si>
  <si>
    <t xml:space="preserve">Juan Quintero</t>
  </si>
  <si>
    <t xml:space="preserve">Luis Diaz</t>
  </si>
  <si>
    <t xml:space="preserve">Deroy Duarte</t>
  </si>
  <si>
    <t xml:space="preserve">CPV</t>
  </si>
  <si>
    <t xml:space="preserve">Diney Borges</t>
  </si>
  <si>
    <t xml:space="preserve">Jamiro Monteiro</t>
  </si>
  <si>
    <t xml:space="preserve">Kevin Pina</t>
  </si>
  <si>
    <t xml:space="preserve">Pico Lopes</t>
  </si>
  <si>
    <t xml:space="preserve">Sidny Lopes Cabral</t>
  </si>
  <si>
    <t xml:space="preserve">Steven Moreira</t>
  </si>
  <si>
    <t xml:space="preserve">Vozinha</t>
  </si>
  <si>
    <t xml:space="preserve">Dominik Livakovic</t>
  </si>
  <si>
    <t xml:space="preserve">CRO</t>
  </si>
  <si>
    <t xml:space="preserve">Ivan Perisic</t>
  </si>
  <si>
    <t xml:space="preserve">Josip Stanisic</t>
  </si>
  <si>
    <t xml:space="preserve">Josip Sutalo</t>
  </si>
  <si>
    <t xml:space="preserve">Josko Gvardiol</t>
  </si>
  <si>
    <t xml:space="preserve">Luka Modric</t>
  </si>
  <si>
    <t xml:space="preserve">Marin Pongracic</t>
  </si>
  <si>
    <t xml:space="preserve">Martin Baturina</t>
  </si>
  <si>
    <t xml:space="preserve">Mateo Kovacic</t>
  </si>
  <si>
    <t xml:space="preserve">Petar Sucic</t>
  </si>
  <si>
    <t xml:space="preserve">Armando Obispo</t>
  </si>
  <si>
    <t xml:space="preserve">CUW</t>
  </si>
  <si>
    <t xml:space="preserve">Eloy Room</t>
  </si>
  <si>
    <t xml:space="preserve">Leandro Bacuna</t>
  </si>
  <si>
    <t xml:space="preserve">Sherel Floranus</t>
  </si>
  <si>
    <t xml:space="preserve">Ladislav Krejci</t>
  </si>
  <si>
    <t xml:space="preserve">CZE</t>
  </si>
  <si>
    <t xml:space="preserve">Matej Kovar</t>
  </si>
  <si>
    <t xml:space="preserve">Michal Sadilek</t>
  </si>
  <si>
    <t xml:space="preserve">Robin Hranac</t>
  </si>
  <si>
    <t xml:space="preserve">Vladimir Coufal</t>
  </si>
  <si>
    <t xml:space="preserve">Alan Franco</t>
  </si>
  <si>
    <t xml:space="preserve">ECU</t>
  </si>
  <si>
    <t xml:space="preserve">Gonzalo Plata</t>
  </si>
  <si>
    <t xml:space="preserve">Hernan Galindez</t>
  </si>
  <si>
    <t xml:space="preserve">Joel Ordonez</t>
  </si>
  <si>
    <t xml:space="preserve">John Yeboah</t>
  </si>
  <si>
    <t xml:space="preserve">Moises Caicedo</t>
  </si>
  <si>
    <t xml:space="preserve">Pedro Vite</t>
  </si>
  <si>
    <t xml:space="preserve">Piero Hincapie</t>
  </si>
  <si>
    <t xml:space="preserve">Willian Pacho</t>
  </si>
  <si>
    <t xml:space="preserve">Ahmed Fatouh</t>
  </si>
  <si>
    <t xml:space="preserve">EGY</t>
  </si>
  <si>
    <t xml:space="preserve">Emam Ashour</t>
  </si>
  <si>
    <t xml:space="preserve">Hamdy Fathy</t>
  </si>
  <si>
    <t xml:space="preserve">Karim Hafez</t>
  </si>
  <si>
    <t xml:space="preserve">Marawan Attia</t>
  </si>
  <si>
    <t xml:space="preserve">Mohamed Hany</t>
  </si>
  <si>
    <t xml:space="preserve">Mohamed Salah</t>
  </si>
  <si>
    <t xml:space="preserve">Mohanad Lashin</t>
  </si>
  <si>
    <t xml:space="preserve">Mostafa Shoubir</t>
  </si>
  <si>
    <t xml:space="preserve">Ramy Rabia</t>
  </si>
  <si>
    <t xml:space="preserve">Yasser Ibrahim</t>
  </si>
  <si>
    <t xml:space="preserve">Anthony Gordon</t>
  </si>
  <si>
    <t xml:space="preserve">ENG</t>
  </si>
  <si>
    <t xml:space="preserve">Bukayo Saka</t>
  </si>
  <si>
    <t xml:space="preserve">Declan Rice</t>
  </si>
  <si>
    <t xml:space="preserve">Djed Spence</t>
  </si>
  <si>
    <t xml:space="preserve">Eberechi Eze</t>
  </si>
  <si>
    <t xml:space="preserve">Elliot Anderson</t>
  </si>
  <si>
    <t xml:space="preserve">Ezri Konsa</t>
  </si>
  <si>
    <t xml:space="preserve">Harry Kane</t>
  </si>
  <si>
    <t xml:space="preserve">Jarell Quansah</t>
  </si>
  <si>
    <t xml:space="preserve">John Stones</t>
  </si>
  <si>
    <t xml:space="preserve">Jordan Pickford</t>
  </si>
  <si>
    <t xml:space="preserve">Jude Bellingham</t>
  </si>
  <si>
    <t xml:space="preserve">Marc Guehi</t>
  </si>
  <si>
    <t xml:space="preserve">Marcus Rashford</t>
  </si>
  <si>
    <t xml:space="preserve">Morgan Rogers</t>
  </si>
  <si>
    <t xml:space="preserve">Nico Oreilly</t>
  </si>
  <si>
    <t xml:space="preserve">Noni Madueke</t>
  </si>
  <si>
    <t xml:space="preserve">Reece James</t>
  </si>
  <si>
    <t xml:space="preserve">Adrien Rabiot</t>
  </si>
  <si>
    <t xml:space="preserve">FRA</t>
  </si>
  <si>
    <t xml:space="preserve">Aurelien Tchouameni</t>
  </si>
  <si>
    <t xml:space="preserve">Bradley Barcola</t>
  </si>
  <si>
    <t xml:space="preserve">Dayot Upamecano</t>
  </si>
  <si>
    <t xml:space="preserve">Desire Doue</t>
  </si>
  <si>
    <t xml:space="preserve">Jules Kounde</t>
  </si>
  <si>
    <t xml:space="preserve">Kylian Mbappe</t>
  </si>
  <si>
    <t xml:space="preserve">Lucas Digne</t>
  </si>
  <si>
    <t xml:space="preserve">Manu Kone</t>
  </si>
  <si>
    <t xml:space="preserve">Maxence Lacroix</t>
  </si>
  <si>
    <t xml:space="preserve">Michael Olise</t>
  </si>
  <si>
    <t xml:space="preserve">Mike Maignan</t>
  </si>
  <si>
    <t xml:space="preserve">Ousmane Dembele</t>
  </si>
  <si>
    <t xml:space="preserve">Rayan Cherki</t>
  </si>
  <si>
    <t xml:space="preserve">Theo Hernandez</t>
  </si>
  <si>
    <t xml:space="preserve">William Saliba</t>
  </si>
  <si>
    <t xml:space="preserve">Aleksandar Pavlovic</t>
  </si>
  <si>
    <t xml:space="preserve">GER</t>
  </si>
  <si>
    <t xml:space="preserve">Antonio Ruediger</t>
  </si>
  <si>
    <t xml:space="preserve">Felix Nmecha</t>
  </si>
  <si>
    <t xml:space="preserve">Florian Wirtz</t>
  </si>
  <si>
    <t xml:space="preserve">Jamal Musiala</t>
  </si>
  <si>
    <t xml:space="preserve">Jonathan Tah</t>
  </si>
  <si>
    <t xml:space="preserve">Joshua Kimmich</t>
  </si>
  <si>
    <t xml:space="preserve">Kai Havertz</t>
  </si>
  <si>
    <t xml:space="preserve">Leroy Sane</t>
  </si>
  <si>
    <t xml:space="preserve">Manuel Neuer</t>
  </si>
  <si>
    <t xml:space="preserve">Nathaniel Brown</t>
  </si>
  <si>
    <t xml:space="preserve">Nico Schlotterbeck</t>
  </si>
  <si>
    <t xml:space="preserve">Derrick Luckassen</t>
  </si>
  <si>
    <t xml:space="preserve">GHA</t>
  </si>
  <si>
    <t xml:space="preserve">Gideon Mensah</t>
  </si>
  <si>
    <t xml:space="preserve">Jerome Opoku</t>
  </si>
  <si>
    <t xml:space="preserve">Jonas Adjetey</t>
  </si>
  <si>
    <t xml:space="preserve">Kwasi Sibo</t>
  </si>
  <si>
    <t xml:space="preserve">Marvin Senaya</t>
  </si>
  <si>
    <t xml:space="preserve">Thomas Partey</t>
  </si>
  <si>
    <t xml:space="preserve">Danley Jean Jacques</t>
  </si>
  <si>
    <t xml:space="preserve">HAI</t>
  </si>
  <si>
    <t xml:space="preserve">Hannes Delcroix</t>
  </si>
  <si>
    <t xml:space="preserve">Jean Ricner Bellegarde</t>
  </si>
  <si>
    <t xml:space="preserve">Johny Placide</t>
  </si>
  <si>
    <t xml:space="preserve">Martin Experience</t>
  </si>
  <si>
    <t xml:space="preserve">Ricardo Ade</t>
  </si>
  <si>
    <t xml:space="preserve">Ali Nemati</t>
  </si>
  <si>
    <t xml:space="preserve">IRN</t>
  </si>
  <si>
    <t xml:space="preserve">Alireza Beiranvand</t>
  </si>
  <si>
    <t xml:space="preserve">Ramin Rezaeian</t>
  </si>
  <si>
    <t xml:space="preserve">Saeid Ezatolahi</t>
  </si>
  <si>
    <t xml:space="preserve">Shoja Khalilzadeh</t>
  </si>
  <si>
    <t xml:space="preserve">Akam Hashim</t>
  </si>
  <si>
    <t xml:space="preserve">IRQ</t>
  </si>
  <si>
    <t xml:space="preserve">Amir Alammari</t>
  </si>
  <si>
    <t xml:space="preserve">Merchas Doski</t>
  </si>
  <si>
    <t xml:space="preserve">Zidane Iqbal</t>
  </si>
  <si>
    <t xml:space="preserve">Abdallah Nasib</t>
  </si>
  <si>
    <t xml:space="preserve">JOR</t>
  </si>
  <si>
    <t xml:space="preserve">Mohannad Abutaha</t>
  </si>
  <si>
    <t xml:space="preserve">Noor Alrawabdeh</t>
  </si>
  <si>
    <t xml:space="preserve">Yazan Alarab</t>
  </si>
  <si>
    <t xml:space="preserve">Ao Tanaka</t>
  </si>
  <si>
    <t xml:space="preserve">JPN</t>
  </si>
  <si>
    <t xml:space="preserve">Daichi Kamada</t>
  </si>
  <si>
    <t xml:space="preserve">Hiroki Ito</t>
  </si>
  <si>
    <t xml:space="preserve">Junya Ito</t>
  </si>
  <si>
    <t xml:space="preserve">Kaishu Sano</t>
  </si>
  <si>
    <t xml:space="preserve">Keito Nakamura</t>
  </si>
  <si>
    <t xml:space="preserve">Kou Itakura</t>
  </si>
  <si>
    <t xml:space="preserve">Ritsu Doan</t>
  </si>
  <si>
    <t xml:space="preserve">Shogo Taniguchi</t>
  </si>
  <si>
    <t xml:space="preserve">Takehiro Tomiyasu</t>
  </si>
  <si>
    <t xml:space="preserve">Zion Suzuki</t>
  </si>
  <si>
    <t xml:space="preserve">Hwang Inbeom</t>
  </si>
  <si>
    <t xml:space="preserve">KOR</t>
  </si>
  <si>
    <t xml:space="preserve">Kim Minjae</t>
  </si>
  <si>
    <t xml:space="preserve">Kim Seunggyu</t>
  </si>
  <si>
    <t xml:space="preserve">Lee Gihyuk</t>
  </si>
  <si>
    <t xml:space="preserve">Lee Hanbeom</t>
  </si>
  <si>
    <t xml:space="preserve">Lee Kangin</t>
  </si>
  <si>
    <t xml:space="preserve">Paik Seungho</t>
  </si>
  <si>
    <t xml:space="preserve">Seol Youngwoo</t>
  </si>
  <si>
    <t xml:space="preserve">Abdulelah Alamri</t>
  </si>
  <si>
    <t xml:space="preserve">KSA</t>
  </si>
  <si>
    <t xml:space="preserve">Hassan Altambakti</t>
  </si>
  <si>
    <t xml:space="preserve">Mohamed Kanno</t>
  </si>
  <si>
    <t xml:space="preserve">Mohammed Alowais</t>
  </si>
  <si>
    <t xml:space="preserve">Nasser Aldawsari</t>
  </si>
  <si>
    <t xml:space="preserve">Saud Abdulhamid</t>
  </si>
  <si>
    <t xml:space="preserve">Achraf Hakimi</t>
  </si>
  <si>
    <t xml:space="preserve">MAR</t>
  </si>
  <si>
    <t xml:space="preserve">Anass Salah Eddine</t>
  </si>
  <si>
    <t xml:space="preserve">Ayyoub Bouaddi</t>
  </si>
  <si>
    <t xml:space="preserve">Azzedine Ounahi</t>
  </si>
  <si>
    <t xml:space="preserve">Bilal El Khannouss</t>
  </si>
  <si>
    <t xml:space="preserve">Brahim Diaz</t>
  </si>
  <si>
    <t xml:space="preserve">Chadi Riad</t>
  </si>
  <si>
    <t xml:space="preserve">Ismael Saibari</t>
  </si>
  <si>
    <t xml:space="preserve">Issa Diop</t>
  </si>
  <si>
    <t xml:space="preserve">Neil El Aynaoui</t>
  </si>
  <si>
    <t xml:space="preserve">Noussair Mazraoui</t>
  </si>
  <si>
    <t xml:space="preserve">Redouane Halhal</t>
  </si>
  <si>
    <t xml:space="preserve">Samir El Mourabet</t>
  </si>
  <si>
    <t xml:space="preserve">Sofyan Amrabat</t>
  </si>
  <si>
    <t xml:space="preserve">Yassine Bounou</t>
  </si>
  <si>
    <t xml:space="preserve">Cesar Montes</t>
  </si>
  <si>
    <t xml:space="preserve">MEX</t>
  </si>
  <si>
    <t xml:space="preserve">Edson Alvarez</t>
  </si>
  <si>
    <t xml:space="preserve">Erik Lira</t>
  </si>
  <si>
    <t xml:space="preserve">Gilberto Mora</t>
  </si>
  <si>
    <t xml:space="preserve">Israel Reyes</t>
  </si>
  <si>
    <t xml:space="preserve">Jesus Gallardo</t>
  </si>
  <si>
    <t xml:space="preserve">Johan Vasquez</t>
  </si>
  <si>
    <t xml:space="preserve">Jorge Sanchez</t>
  </si>
  <si>
    <t xml:space="preserve">Julian Quinones</t>
  </si>
  <si>
    <t xml:space="preserve">Luis Romo</t>
  </si>
  <si>
    <t xml:space="preserve">Raul Rangel</t>
  </si>
  <si>
    <t xml:space="preserve">Roberto Alvarado</t>
  </si>
  <si>
    <t xml:space="preserve">Bart Verbruggen</t>
  </si>
  <si>
    <t xml:space="preserve">NED</t>
  </si>
  <si>
    <t xml:space="preserve">Cody Gakpo</t>
  </si>
  <si>
    <t xml:space="preserve">Denzel Dumfries</t>
  </si>
  <si>
    <t xml:space="preserve">Frenkie De Jong</t>
  </si>
  <si>
    <t xml:space="preserve">Jan Paul Van Hecke</t>
  </si>
  <si>
    <t xml:space="preserve">Micky Van De Ven</t>
  </si>
  <si>
    <t xml:space="preserve">Nathan Ake</t>
  </si>
  <si>
    <t xml:space="preserve">Ryan Gravenberch</t>
  </si>
  <si>
    <t xml:space="preserve">Virgil Van Dijk</t>
  </si>
  <si>
    <t xml:space="preserve">Alexander Sorloth</t>
  </si>
  <si>
    <t xml:space="preserve">NOR</t>
  </si>
  <si>
    <t xml:space="preserve">Andreas Schjelderup</t>
  </si>
  <si>
    <t xml:space="preserve">Antonio Nusa</t>
  </si>
  <si>
    <t xml:space="preserve">David Moller Wolfe</t>
  </si>
  <si>
    <t xml:space="preserve">Fredrik Aursnes</t>
  </si>
  <si>
    <t xml:space="preserve">Julian Ryerson</t>
  </si>
  <si>
    <t xml:space="preserve">Kristoffer Ajer</t>
  </si>
  <si>
    <t xml:space="preserve">Leo Ostigard</t>
  </si>
  <si>
    <t xml:space="preserve">Marcus Holmgren Pedersen</t>
  </si>
  <si>
    <t xml:space="preserve">Martin Odegaard</t>
  </si>
  <si>
    <t xml:space="preserve">Orjan Nyland</t>
  </si>
  <si>
    <t xml:space="preserve">Oscar Bobb</t>
  </si>
  <si>
    <t xml:space="preserve">Patrick Berg</t>
  </si>
  <si>
    <t xml:space="preserve">Sander Berge</t>
  </si>
  <si>
    <t xml:space="preserve">Torbjorn Heggem</t>
  </si>
  <si>
    <t xml:space="preserve">Callum Mccowatt</t>
  </si>
  <si>
    <t xml:space="preserve">NZL</t>
  </si>
  <si>
    <t xml:space="preserve">Elijah Just</t>
  </si>
  <si>
    <t xml:space="preserve">Finn Surman</t>
  </si>
  <si>
    <t xml:space="preserve">Joe Bell</t>
  </si>
  <si>
    <t xml:space="preserve">Liberato Cacace</t>
  </si>
  <si>
    <t xml:space="preserve">Marko Stamenic</t>
  </si>
  <si>
    <t xml:space="preserve">Max Crocombe</t>
  </si>
  <si>
    <t xml:space="preserve">Michael Boxall</t>
  </si>
  <si>
    <t xml:space="preserve">Tim Payne</t>
  </si>
  <si>
    <t xml:space="preserve">Amir Murillo</t>
  </si>
  <si>
    <t xml:space="preserve">PAN</t>
  </si>
  <si>
    <t xml:space="preserve">Andres Andrade</t>
  </si>
  <si>
    <t xml:space="preserve">Carlos Harvey</t>
  </si>
  <si>
    <t xml:space="preserve">Edgar Yoel Barcenas</t>
  </si>
  <si>
    <t xml:space="preserve">Jiovany Ramos</t>
  </si>
  <si>
    <t xml:space="preserve">Jose Cordoba</t>
  </si>
  <si>
    <t xml:space="preserve">Orlando Mosquera</t>
  </si>
  <si>
    <t xml:space="preserve">Andres Cubas</t>
  </si>
  <si>
    <t xml:space="preserve">PAR</t>
  </si>
  <si>
    <t xml:space="preserve">Diego Gomez</t>
  </si>
  <si>
    <t xml:space="preserve">Gustavo Gomez</t>
  </si>
  <si>
    <t xml:space="preserve">Juan Jose Caceres</t>
  </si>
  <si>
    <t xml:space="preserve">Junior Alonso</t>
  </si>
  <si>
    <t xml:space="preserve">Matias Galarza</t>
  </si>
  <si>
    <t xml:space="preserve">Omar Alderete</t>
  </si>
  <si>
    <t xml:space="preserve">Orlando Gill</t>
  </si>
  <si>
    <t xml:space="preserve">Bruno Fernandes</t>
  </si>
  <si>
    <t xml:space="preserve">POR</t>
  </si>
  <si>
    <t xml:space="preserve">Cristiano Ronaldo</t>
  </si>
  <si>
    <t xml:space="preserve">Diogo Costa</t>
  </si>
  <si>
    <t xml:space="preserve">Joao Cancelo</t>
  </si>
  <si>
    <t xml:space="preserve">Joao Neves</t>
  </si>
  <si>
    <t xml:space="preserve">Nelson Semedo</t>
  </si>
  <si>
    <t xml:space="preserve">Nuno Mendes</t>
  </si>
  <si>
    <t xml:space="preserve">Pedro Neto</t>
  </si>
  <si>
    <t xml:space="preserve">Renato Veiga</t>
  </si>
  <si>
    <t xml:space="preserve">Ruben Dias</t>
  </si>
  <si>
    <t xml:space="preserve">Tomas Araujo</t>
  </si>
  <si>
    <t xml:space="preserve">Vitinha</t>
  </si>
  <si>
    <t xml:space="preserve">Akram Afif</t>
  </si>
  <si>
    <t xml:space="preserve">QAT</t>
  </si>
  <si>
    <t xml:space="preserve">Boualem Khoukhi</t>
  </si>
  <si>
    <t xml:space="preserve">Issa Laye</t>
  </si>
  <si>
    <t xml:space="preserve">Mahmoud Abunada</t>
  </si>
  <si>
    <t xml:space="preserve">Aubrey Modiba</t>
  </si>
  <si>
    <t xml:space="preserve">RSA</t>
  </si>
  <si>
    <t xml:space="preserve">Ime Okon</t>
  </si>
  <si>
    <t xml:space="preserve">Khuliso Mudau</t>
  </si>
  <si>
    <t xml:space="preserve">Mbekezeli Mbokazi</t>
  </si>
  <si>
    <t xml:space="preserve">Oswin Appollis</t>
  </si>
  <si>
    <t xml:space="preserve">Ronwen Williams</t>
  </si>
  <si>
    <t xml:space="preserve">Sphephelo Sithole</t>
  </si>
  <si>
    <t xml:space="preserve">Teboho Mokoena</t>
  </si>
  <si>
    <t xml:space="preserve">Thalente Mbatha</t>
  </si>
  <si>
    <t xml:space="preserve">Andy Robertson</t>
  </si>
  <si>
    <t xml:space="preserve">SCO</t>
  </si>
  <si>
    <t xml:space="preserve">Angus Gunn</t>
  </si>
  <si>
    <t xml:space="preserve">Grant Hanley</t>
  </si>
  <si>
    <t xml:space="preserve">Jack Hendry</t>
  </si>
  <si>
    <t xml:space="preserve">Lewis Ferguson</t>
  </si>
  <si>
    <t xml:space="preserve">Nathan Patterson</t>
  </si>
  <si>
    <t xml:space="preserve">Scott Mctominay</t>
  </si>
  <si>
    <t xml:space="preserve">El Hadji Malick Diouf</t>
  </si>
  <si>
    <t xml:space="preserve">SEN</t>
  </si>
  <si>
    <t xml:space="preserve">Idrissa Gana Gueye</t>
  </si>
  <si>
    <t xml:space="preserve">Ismail Jakobs</t>
  </si>
  <si>
    <t xml:space="preserve">Krepin Diatta</t>
  </si>
  <si>
    <t xml:space="preserve">Lamine Camara</t>
  </si>
  <si>
    <t xml:space="preserve">Mory Diaw</t>
  </si>
  <si>
    <t xml:space="preserve">Moussa Niakhate</t>
  </si>
  <si>
    <t xml:space="preserve">Pape Gueye</t>
  </si>
  <si>
    <t xml:space="preserve">Pathe Ciss</t>
  </si>
  <si>
    <t xml:space="preserve">Sadio Mane</t>
  </si>
  <si>
    <t xml:space="preserve">Dan Ndoye</t>
  </si>
  <si>
    <t xml:space="preserve">SUI</t>
  </si>
  <si>
    <t xml:space="preserve">Denis Zakaria</t>
  </si>
  <si>
    <t xml:space="preserve">Djibril Sow</t>
  </si>
  <si>
    <t xml:space="preserve">Fabian Rieder</t>
  </si>
  <si>
    <t xml:space="preserve">Granit Xhaka</t>
  </si>
  <si>
    <t xml:space="preserve">Gregor Kobel</t>
  </si>
  <si>
    <t xml:space="preserve">Manuel Akanji</t>
  </si>
  <si>
    <t xml:space="preserve">Nico Elvedi</t>
  </si>
  <si>
    <t xml:space="preserve">Remo Freuler</t>
  </si>
  <si>
    <t xml:space="preserve">Ricardo Rodriguez</t>
  </si>
  <si>
    <t xml:space="preserve">Ruben Vargas</t>
  </si>
  <si>
    <t xml:space="preserve">Gabriel Gudmundsson</t>
  </si>
  <si>
    <t xml:space="preserve">SWE</t>
  </si>
  <si>
    <t xml:space="preserve">Gustaf Lagerbielke</t>
  </si>
  <si>
    <t xml:space="preserve">Isak Hien</t>
  </si>
  <si>
    <t xml:space="preserve">Lucas Bergvall</t>
  </si>
  <si>
    <t xml:space="preserve">Victor Lindelof</t>
  </si>
  <si>
    <t xml:space="preserve">Yasin Ayari</t>
  </si>
  <si>
    <t xml:space="preserve">Ellyes Skhiri</t>
  </si>
  <si>
    <t xml:space="preserve">TUN</t>
  </si>
  <si>
    <t xml:space="preserve">Hannibal Mejbri</t>
  </si>
  <si>
    <t xml:space="preserve">Mohamed Amine Ben Hmida</t>
  </si>
  <si>
    <t xml:space="preserve">Montassar Talbi</t>
  </si>
  <si>
    <t xml:space="preserve">Omar Rekik</t>
  </si>
  <si>
    <t xml:space="preserve">Abdulkerim Bardakci</t>
  </si>
  <si>
    <t xml:space="preserve">TUR</t>
  </si>
  <si>
    <t xml:space="preserve">Arda Guler</t>
  </si>
  <si>
    <t xml:space="preserve">Ferdi Kadioglu</t>
  </si>
  <si>
    <t xml:space="preserve">Hakan Calhanoglu</t>
  </si>
  <si>
    <t xml:space="preserve">Ismail Yuksek</t>
  </si>
  <si>
    <t xml:space="preserve">Kenan Yildiz</t>
  </si>
  <si>
    <t xml:space="preserve">Merih Demiral</t>
  </si>
  <si>
    <t xml:space="preserve">Orkun Kokcu</t>
  </si>
  <si>
    <t xml:space="preserve">Ugurcan Cakir</t>
  </si>
  <si>
    <t xml:space="preserve">Federico Valverde</t>
  </si>
  <si>
    <t xml:space="preserve">URU</t>
  </si>
  <si>
    <t xml:space="preserve">Guillermo Varela</t>
  </si>
  <si>
    <t xml:space="preserve">Juan Manuel Sanabria</t>
  </si>
  <si>
    <t xml:space="preserve">Manuel Ugarte</t>
  </si>
  <si>
    <t xml:space="preserve">Mathias Olivera</t>
  </si>
  <si>
    <t xml:space="preserve">Rodrigo Bentancur</t>
  </si>
  <si>
    <t xml:space="preserve">Sebastian Caceres</t>
  </si>
  <si>
    <t xml:space="preserve">Alex Freeman</t>
  </si>
  <si>
    <t xml:space="preserve">USA</t>
  </si>
  <si>
    <t xml:space="preserve">Antonee Robinson</t>
  </si>
  <si>
    <t xml:space="preserve">Chris Richards</t>
  </si>
  <si>
    <t xml:space="preserve">Giovanni Reyna</t>
  </si>
  <si>
    <t xml:space="preserve">Malik Tillman</t>
  </si>
  <si>
    <t xml:space="preserve">Matt Freese</t>
  </si>
  <si>
    <t xml:space="preserve">Sebastian Berhalter</t>
  </si>
  <si>
    <t xml:space="preserve">Sergino Dest</t>
  </si>
  <si>
    <t xml:space="preserve">Tim Ream</t>
  </si>
  <si>
    <t xml:space="preserve">Tyler Adams</t>
  </si>
  <si>
    <t xml:space="preserve">Weston Mckennie</t>
  </si>
  <si>
    <t xml:space="preserve">Abdukodir Khusanov</t>
  </si>
  <si>
    <t xml:space="preserve">UZB</t>
  </si>
  <si>
    <t xml:space="preserve">Otabek Shukurov</t>
  </si>
  <si>
    <t xml:space="preserve">Rustam Ashurmatov</t>
  </si>
  <si>
    <t xml:space="preserve">Source: FIFA official 2026 World Cup Player Statistics (Passes/Distribution). n=450 players with Att &gt;= 20 (all players pulled already clear this bar). Cmp is derived as ROUND(Att*Cmp_pct/100,0); Group is derived from Squad.</t>
  </si>
  <si>
    <t xml:space="preserve">Simple random sample drawn in Python (pandas .sample, random_state=398629, the student ID, for reproducibility) from the wrangled population on the 'Data (n=450)' sheet. Rows 2-31 = Finalist sample (n=30); rows 32-61 = Non-finalist sample (n=30).</t>
  </si>
  <si>
    <t xml:space="preserve">Descriptive statistics — Cmp% (pass completion %)</t>
  </si>
  <si>
    <t xml:space="preserve">All formulas reference the 'Sample (n=60)' sheet directly.</t>
  </si>
  <si>
    <t xml:space="preserve">n</t>
  </si>
  <si>
    <t xml:space="preserve">Mean</t>
  </si>
  <si>
    <t xml:space="preserve">Median</t>
  </si>
  <si>
    <t xml:space="preserve">Std Dev (sample)</t>
  </si>
  <si>
    <t xml:space="preserve">Min</t>
  </si>
  <si>
    <t xml:space="preserve">Max</t>
  </si>
  <si>
    <t xml:space="preserve">Finalist (Spain + Argentina)</t>
  </si>
  <si>
    <t xml:space="preserve">Non-finalist</t>
  </si>
  <si>
    <t xml:space="preserve">Inferential statistics — Finalist vs Non-finalist Cmp%</t>
  </si>
  <si>
    <t xml:space="preserve">95% CI for the difference in means (Welch-Satterthwaite) and Welch's two-sample t-test.</t>
  </si>
  <si>
    <t xml:space="preserve">n (Finalist)</t>
  </si>
  <si>
    <t xml:space="preserve">n (Non-finalist)</t>
  </si>
  <si>
    <t xml:space="preserve">Mean (Finalist)</t>
  </si>
  <si>
    <t xml:space="preserve">Mean (Non-finalist)</t>
  </si>
  <si>
    <t xml:space="preserve">Variance (Finalist), sample</t>
  </si>
  <si>
    <t xml:space="preserve">Variance (Non-finalist), sample</t>
  </si>
  <si>
    <t xml:space="preserve">Mean difference (Finalist − Non-finalist)</t>
  </si>
  <si>
    <t xml:space="preserve">Standard error of difference</t>
  </si>
  <si>
    <t xml:space="preserve">Welch-Satterthwaite df</t>
  </si>
  <si>
    <t xml:space="preserve">t critical (two-tailed, alpha=0.05)</t>
  </si>
  <si>
    <t xml:space="preserve">Margin of error</t>
  </si>
  <si>
    <t xml:space="preserve">95% CI lower bound</t>
  </si>
  <si>
    <t xml:space="preserve">95% CI upper bound</t>
  </si>
  <si>
    <t xml:space="preserve">t-statistic</t>
  </si>
  <si>
    <t xml:space="preserve">p-value (Welch's two-sample t-test, two-tailed)</t>
  </si>
  <si>
    <t xml:space="preserve">alpha</t>
  </si>
  <si>
    <t xml:space="preserve">Decision at alpha = 0.05</t>
  </si>
  <si>
    <t xml:space="preserve">H0: mean Cmp%(Finalist) = mean Cmp%(Non-finalist)  |  H1: mean Cmp%(Finalist) != mean Cmp%(Non-finalist)</t>
  </si>
  <si>
    <t xml:space="preserve">Reference chart (static image, generated in Python/matplotlib)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</si>
</sst>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i val="true"/>
      <sz val="9.5"/>
      <color rgb="FF898781"/>
      <name val="Arial"/>
      <family val="0"/>
      <charset val="1"/>
    </font>
    <font>
      <b val="true"/>
      <sz val="10.5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EAF1FB"/>
        <bgColor rgb="FFFDF1EC"/>
      </patternFill>
    </fill>
    <fill>
      <patternFill patternType="solid">
        <fgColor rgb="FFFDF1EC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98781"/>
      <rgbColor rgb="FF9999FF"/>
      <rgbColor rgb="FF993366"/>
      <rgbColor rgb="FFFDF1EC"/>
      <rgbColor rgb="FFEAF1FB"/>
      <rgbColor rgb="FF660066"/>
      <rgbColor rgb="FFFF8080"/>
      <rgbColor rgb="FF0066CC"/>
      <rgbColor rgb="FFE1E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15</xdr:col>
      <xdr:colOff>257040</xdr:colOff>
      <xdr:row>49</xdr:row>
      <xdr:rowOff>56880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9429480" cy="9010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3.5" hidden="false" customHeight="true" outlineLevel="0" collapsed="false">
      <c r="A4" s="3" t="s">
        <v>2</v>
      </c>
    </row>
    <row r="5" customFormat="false" ht="42" hidden="false" customHeight="true" outlineLevel="0" collapsed="false">
      <c r="A5" s="4" t="s">
        <v>3</v>
      </c>
    </row>
    <row r="6" customFormat="false" ht="13.5" hidden="false" customHeight="true" outlineLevel="0" collapsed="false">
      <c r="A6" s="4"/>
    </row>
    <row r="7" customFormat="false" ht="13.5" hidden="false" customHeight="true" outlineLevel="0" collapsed="false">
      <c r="A7" s="3" t="s">
        <v>4</v>
      </c>
    </row>
    <row r="8" customFormat="false" ht="42" hidden="false" customHeight="true" outlineLevel="0" collapsed="false">
      <c r="A8" s="4" t="s">
        <v>5</v>
      </c>
    </row>
    <row r="9" customFormat="false" ht="55.5" hidden="false" customHeight="true" outlineLevel="0" collapsed="false">
      <c r="A9" s="5" t="s">
        <v>6</v>
      </c>
    </row>
    <row r="10" customFormat="false" ht="13.5" hidden="false" customHeight="true" outlineLevel="0" collapsed="false">
      <c r="A10" s="4"/>
    </row>
    <row r="11" customFormat="false" ht="13.5" hidden="false" customHeight="true" outlineLevel="0" collapsed="false">
      <c r="A11" s="3" t="s">
        <v>7</v>
      </c>
    </row>
    <row r="12" customFormat="false" ht="42" hidden="false" customHeight="true" outlineLevel="0" collapsed="false">
      <c r="A12" s="4" t="s">
        <v>8</v>
      </c>
    </row>
    <row r="13" customFormat="false" ht="27.75" hidden="false" customHeight="true" outlineLevel="0" collapsed="false">
      <c r="A13" s="4" t="s">
        <v>9</v>
      </c>
    </row>
    <row r="14" customFormat="false" ht="13.5" hidden="false" customHeight="true" outlineLevel="0" collapsed="false">
      <c r="A14" s="4" t="s">
        <v>10</v>
      </c>
    </row>
    <row r="15" customFormat="false" ht="13.5" hidden="false" customHeight="true" outlineLevel="0" collapsed="false">
      <c r="A15" s="4" t="s">
        <v>11</v>
      </c>
    </row>
    <row r="16" customFormat="false" ht="13.5" hidden="false" customHeight="true" outlineLevel="0" collapsed="false">
      <c r="A16" s="4" t="s">
        <v>12</v>
      </c>
    </row>
    <row r="17" customFormat="false" ht="13.5" hidden="false" customHeight="true" outlineLevel="0" collapsed="false">
      <c r="A17" s="4"/>
    </row>
    <row r="18" customFormat="false" ht="13.5" hidden="false" customHeight="true" outlineLevel="0" collapsed="false">
      <c r="A18" s="3" t="s">
        <v>13</v>
      </c>
    </row>
    <row r="19" customFormat="false" ht="55.5" hidden="false" customHeight="tru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customFormat="false" ht="15" hidden="false" customHeight="false" outlineLevel="0" collapsed="false">
      <c r="A2" s="7" t="s">
        <v>22</v>
      </c>
      <c r="B2" s="7" t="s">
        <v>23</v>
      </c>
      <c r="C2" s="7" t="s">
        <v>24</v>
      </c>
      <c r="D2" s="7" t="n">
        <v>430</v>
      </c>
      <c r="E2" s="7" t="n">
        <v>91</v>
      </c>
      <c r="F2" s="7" t="n">
        <f aca="false">ROUND(D2*E2/100,0)</f>
        <v>391</v>
      </c>
      <c r="G2" s="7" t="str">
        <f aca="false">IF(OR(B2="ESP",B2="ARG"),"Finalist","Non-finalist")</f>
        <v>Finalist</v>
      </c>
    </row>
    <row r="3" customFormat="false" ht="15" hidden="false" customHeight="false" outlineLevel="0" collapsed="false">
      <c r="A3" s="7" t="s">
        <v>25</v>
      </c>
      <c r="B3" s="7" t="s">
        <v>23</v>
      </c>
      <c r="C3" s="7" t="s">
        <v>26</v>
      </c>
      <c r="D3" s="7" t="n">
        <v>430</v>
      </c>
      <c r="E3" s="7" t="n">
        <v>97</v>
      </c>
      <c r="F3" s="7" t="n">
        <f aca="false">ROUND(D3*E3/100,0)</f>
        <v>417</v>
      </c>
      <c r="G3" s="7" t="str">
        <f aca="false">IF(OR(B3="ESP",B3="ARG"),"Finalist","Non-finalist")</f>
        <v>Finalist</v>
      </c>
    </row>
    <row r="4" customFormat="false" ht="15" hidden="false" customHeight="false" outlineLevel="0" collapsed="false">
      <c r="A4" s="7" t="s">
        <v>27</v>
      </c>
      <c r="B4" s="7" t="s">
        <v>23</v>
      </c>
      <c r="C4" s="7" t="s">
        <v>28</v>
      </c>
      <c r="D4" s="7" t="n">
        <v>268</v>
      </c>
      <c r="E4" s="7" t="n">
        <v>73</v>
      </c>
      <c r="F4" s="7" t="n">
        <f aca="false">ROUND(D4*E4/100,0)</f>
        <v>196</v>
      </c>
      <c r="G4" s="7" t="str">
        <f aca="false">IF(OR(B4="ESP",B4="ARG"),"Finalist","Non-finalist")</f>
        <v>Finalist</v>
      </c>
    </row>
    <row r="5" customFormat="false" ht="15" hidden="false" customHeight="false" outlineLevel="0" collapsed="false">
      <c r="A5" s="7" t="s">
        <v>29</v>
      </c>
      <c r="B5" s="7" t="s">
        <v>23</v>
      </c>
      <c r="C5" s="7" t="s">
        <v>24</v>
      </c>
      <c r="D5" s="7" t="n">
        <v>519</v>
      </c>
      <c r="E5" s="7" t="n">
        <v>92</v>
      </c>
      <c r="F5" s="7" t="n">
        <f aca="false">ROUND(D5*E5/100,0)</f>
        <v>477</v>
      </c>
      <c r="G5" s="7" t="str">
        <f aca="false">IF(OR(B5="ESP",B5="ARG"),"Finalist","Non-finalist")</f>
        <v>Finalist</v>
      </c>
    </row>
    <row r="6" customFormat="false" ht="15" hidden="false" customHeight="false" outlineLevel="0" collapsed="false">
      <c r="A6" s="7" t="s">
        <v>30</v>
      </c>
      <c r="B6" s="7" t="s">
        <v>23</v>
      </c>
      <c r="C6" s="7" t="s">
        <v>24</v>
      </c>
      <c r="D6" s="7" t="n">
        <v>94</v>
      </c>
      <c r="E6" s="7" t="n">
        <v>95</v>
      </c>
      <c r="F6" s="7" t="n">
        <f aca="false">ROUND(D6*E6/100,0)</f>
        <v>89</v>
      </c>
      <c r="G6" s="7" t="str">
        <f aca="false">IF(OR(B6="ESP",B6="ARG"),"Finalist","Non-finalist")</f>
        <v>Finalist</v>
      </c>
    </row>
    <row r="7" customFormat="false" ht="15" hidden="false" customHeight="false" outlineLevel="0" collapsed="false">
      <c r="A7" s="7" t="s">
        <v>31</v>
      </c>
      <c r="B7" s="7" t="s">
        <v>23</v>
      </c>
      <c r="C7" s="7" t="s">
        <v>26</v>
      </c>
      <c r="D7" s="7" t="n">
        <v>163</v>
      </c>
      <c r="E7" s="7" t="n">
        <v>92</v>
      </c>
      <c r="F7" s="7" t="n">
        <f aca="false">ROUND(D7*E7/100,0)</f>
        <v>150</v>
      </c>
      <c r="G7" s="7" t="str">
        <f aca="false">IF(OR(B7="ESP",B7="ARG"),"Finalist","Non-finalist")</f>
        <v>Finalist</v>
      </c>
    </row>
    <row r="8" customFormat="false" ht="15" hidden="false" customHeight="false" outlineLevel="0" collapsed="false">
      <c r="A8" s="7" t="s">
        <v>32</v>
      </c>
      <c r="B8" s="7" t="s">
        <v>23</v>
      </c>
      <c r="C8" s="7" t="s">
        <v>26</v>
      </c>
      <c r="D8" s="7" t="n">
        <v>100</v>
      </c>
      <c r="E8" s="7" t="n">
        <v>81</v>
      </c>
      <c r="F8" s="7" t="n">
        <f aca="false">ROUND(D8*E8/100,0)</f>
        <v>81</v>
      </c>
      <c r="G8" s="7" t="str">
        <f aca="false">IF(OR(B8="ESP",B8="ARG"),"Finalist","Non-finalist")</f>
        <v>Finalist</v>
      </c>
    </row>
    <row r="9" customFormat="false" ht="15" hidden="false" customHeight="false" outlineLevel="0" collapsed="false">
      <c r="A9" s="7" t="s">
        <v>33</v>
      </c>
      <c r="B9" s="7" t="s">
        <v>23</v>
      </c>
      <c r="C9" s="7" t="s">
        <v>34</v>
      </c>
      <c r="D9" s="7" t="n">
        <v>215</v>
      </c>
      <c r="E9" s="7" t="n">
        <v>85</v>
      </c>
      <c r="F9" s="7" t="n">
        <f aca="false">ROUND(D9*E9/100,0)</f>
        <v>183</v>
      </c>
      <c r="G9" s="7" t="str">
        <f aca="false">IF(OR(B9="ESP",B9="ARG"),"Finalist","Non-finalist")</f>
        <v>Finalist</v>
      </c>
    </row>
    <row r="10" customFormat="false" ht="15" hidden="false" customHeight="false" outlineLevel="0" collapsed="false">
      <c r="A10" s="7" t="s">
        <v>35</v>
      </c>
      <c r="B10" s="7" t="s">
        <v>23</v>
      </c>
      <c r="C10" s="7" t="s">
        <v>24</v>
      </c>
      <c r="D10" s="7" t="n">
        <v>565</v>
      </c>
      <c r="E10" s="7" t="n">
        <v>94</v>
      </c>
      <c r="F10" s="7" t="n">
        <f aca="false">ROUND(D10*E10/100,0)</f>
        <v>531</v>
      </c>
      <c r="G10" s="7" t="str">
        <f aca="false">IF(OR(B10="ESP",B10="ARG"),"Finalist","Non-finalist")</f>
        <v>Finalist</v>
      </c>
    </row>
    <row r="11" customFormat="false" ht="15" hidden="false" customHeight="false" outlineLevel="0" collapsed="false">
      <c r="A11" s="7" t="s">
        <v>36</v>
      </c>
      <c r="B11" s="7" t="s">
        <v>23</v>
      </c>
      <c r="C11" s="7" t="s">
        <v>34</v>
      </c>
      <c r="D11" s="7" t="n">
        <v>367</v>
      </c>
      <c r="E11" s="7" t="n">
        <v>78</v>
      </c>
      <c r="F11" s="7" t="n">
        <f aca="false">ROUND(D11*E11/100,0)</f>
        <v>286</v>
      </c>
      <c r="G11" s="7" t="str">
        <f aca="false">IF(OR(B11="ESP",B11="ARG"),"Finalist","Non-finalist")</f>
        <v>Finalist</v>
      </c>
    </row>
    <row r="12" customFormat="false" ht="15" hidden="false" customHeight="false" outlineLevel="0" collapsed="false">
      <c r="A12" s="7" t="s">
        <v>37</v>
      </c>
      <c r="B12" s="7" t="s">
        <v>23</v>
      </c>
      <c r="C12" s="7" t="s">
        <v>26</v>
      </c>
      <c r="D12" s="7" t="n">
        <v>450</v>
      </c>
      <c r="E12" s="7" t="n">
        <v>94</v>
      </c>
      <c r="F12" s="7" t="n">
        <f aca="false">ROUND(D12*E12/100,0)</f>
        <v>423</v>
      </c>
      <c r="G12" s="7" t="str">
        <f aca="false">IF(OR(B12="ESP",B12="ARG"),"Finalist","Non-finalist")</f>
        <v>Finalist</v>
      </c>
    </row>
    <row r="13" customFormat="false" ht="15" hidden="false" customHeight="false" outlineLevel="0" collapsed="false">
      <c r="A13" s="7" t="s">
        <v>38</v>
      </c>
      <c r="B13" s="7" t="s">
        <v>23</v>
      </c>
      <c r="C13" s="7" t="s">
        <v>26</v>
      </c>
      <c r="D13" s="7" t="n">
        <v>276</v>
      </c>
      <c r="E13" s="7" t="n">
        <v>85</v>
      </c>
      <c r="F13" s="7" t="n">
        <f aca="false">ROUND(D13*E13/100,0)</f>
        <v>235</v>
      </c>
      <c r="G13" s="7" t="str">
        <f aca="false">IF(OR(B13="ESP",B13="ARG"),"Finalist","Non-finalist")</f>
        <v>Finalist</v>
      </c>
    </row>
    <row r="14" customFormat="false" ht="15" hidden="false" customHeight="false" outlineLevel="0" collapsed="false">
      <c r="A14" s="7" t="s">
        <v>39</v>
      </c>
      <c r="B14" s="7" t="s">
        <v>23</v>
      </c>
      <c r="C14" s="7" t="s">
        <v>24</v>
      </c>
      <c r="D14" s="7" t="n">
        <v>109</v>
      </c>
      <c r="E14" s="7" t="n">
        <v>83</v>
      </c>
      <c r="F14" s="7" t="n">
        <f aca="false">ROUND(D14*E14/100,0)</f>
        <v>90</v>
      </c>
      <c r="G14" s="7" t="str">
        <f aca="false">IF(OR(B14="ESP",B14="ARG"),"Finalist","Non-finalist")</f>
        <v>Finalist</v>
      </c>
    </row>
    <row r="15" customFormat="false" ht="15" hidden="false" customHeight="false" outlineLevel="0" collapsed="false">
      <c r="A15" s="7" t="s">
        <v>40</v>
      </c>
      <c r="B15" s="7" t="s">
        <v>23</v>
      </c>
      <c r="C15" s="7" t="s">
        <v>26</v>
      </c>
      <c r="D15" s="7" t="n">
        <v>187</v>
      </c>
      <c r="E15" s="7" t="n">
        <v>95</v>
      </c>
      <c r="F15" s="7" t="n">
        <f aca="false">ROUND(D15*E15/100,0)</f>
        <v>178</v>
      </c>
      <c r="G15" s="7" t="str">
        <f aca="false">IF(OR(B15="ESP",B15="ARG"),"Finalist","Non-finalist")</f>
        <v>Finalist</v>
      </c>
    </row>
    <row r="16" customFormat="false" ht="15" hidden="false" customHeight="false" outlineLevel="0" collapsed="false">
      <c r="A16" s="7" t="s">
        <v>41</v>
      </c>
      <c r="B16" s="7" t="s">
        <v>23</v>
      </c>
      <c r="C16" s="7" t="s">
        <v>26</v>
      </c>
      <c r="D16" s="7" t="n">
        <v>217</v>
      </c>
      <c r="E16" s="7" t="n">
        <v>88</v>
      </c>
      <c r="F16" s="7" t="n">
        <f aca="false">ROUND(D16*E16/100,0)</f>
        <v>191</v>
      </c>
      <c r="G16" s="7" t="str">
        <f aca="false">IF(OR(B16="ESP",B16="ARG"),"Finalist","Non-finalist")</f>
        <v>Finalist</v>
      </c>
    </row>
    <row r="17" customFormat="false" ht="15" hidden="false" customHeight="false" outlineLevel="0" collapsed="false">
      <c r="A17" s="7" t="s">
        <v>42</v>
      </c>
      <c r="B17" s="7" t="s">
        <v>23</v>
      </c>
      <c r="C17" s="7" t="s">
        <v>24</v>
      </c>
      <c r="D17" s="7" t="n">
        <v>327</v>
      </c>
      <c r="E17" s="7" t="n">
        <v>92</v>
      </c>
      <c r="F17" s="7" t="n">
        <f aca="false">ROUND(D17*E17/100,0)</f>
        <v>301</v>
      </c>
      <c r="G17" s="7" t="str">
        <f aca="false">IF(OR(B17="ESP",B17="ARG"),"Finalist","Non-finalist")</f>
        <v>Finalist</v>
      </c>
    </row>
    <row r="18" customFormat="false" ht="15" hidden="false" customHeight="false" outlineLevel="0" collapsed="false">
      <c r="A18" s="7" t="s">
        <v>43</v>
      </c>
      <c r="B18" s="7" t="s">
        <v>23</v>
      </c>
      <c r="C18" s="7" t="s">
        <v>34</v>
      </c>
      <c r="D18" s="7" t="n">
        <v>170</v>
      </c>
      <c r="E18" s="7" t="n">
        <v>91</v>
      </c>
      <c r="F18" s="7" t="n">
        <f aca="false">ROUND(D18*E18/100,0)</f>
        <v>155</v>
      </c>
      <c r="G18" s="7" t="str">
        <f aca="false">IF(OR(B18="ESP",B18="ARG"),"Finalist","Non-finalist")</f>
        <v>Finalist</v>
      </c>
    </row>
    <row r="19" customFormat="false" ht="15" hidden="false" customHeight="false" outlineLevel="0" collapsed="false">
      <c r="A19" s="7" t="s">
        <v>44</v>
      </c>
      <c r="B19" s="7" t="s">
        <v>45</v>
      </c>
      <c r="C19" s="7" t="s">
        <v>24</v>
      </c>
      <c r="D19" s="7" t="n">
        <v>218</v>
      </c>
      <c r="E19" s="7" t="n">
        <v>82</v>
      </c>
      <c r="F19" s="7" t="n">
        <f aca="false">ROUND(D19*E19/100,0)</f>
        <v>179</v>
      </c>
      <c r="G19" s="7" t="str">
        <f aca="false">IF(OR(B19="ESP",B19="ARG"),"Finalist","Non-finalist")</f>
        <v>Finalist</v>
      </c>
    </row>
    <row r="20" customFormat="false" ht="15" hidden="false" customHeight="false" outlineLevel="0" collapsed="false">
      <c r="A20" s="7" t="s">
        <v>46</v>
      </c>
      <c r="B20" s="7" t="s">
        <v>45</v>
      </c>
      <c r="C20" s="7" t="s">
        <v>26</v>
      </c>
      <c r="D20" s="7" t="n">
        <v>660</v>
      </c>
      <c r="E20" s="7" t="n">
        <v>94</v>
      </c>
      <c r="F20" s="7" t="n">
        <f aca="false">ROUND(D20*E20/100,0)</f>
        <v>620</v>
      </c>
      <c r="G20" s="7" t="str">
        <f aca="false">IF(OR(B20="ESP",B20="ARG"),"Finalist","Non-finalist")</f>
        <v>Finalist</v>
      </c>
    </row>
    <row r="21" customFormat="false" ht="15" hidden="false" customHeight="false" outlineLevel="0" collapsed="false">
      <c r="A21" s="7" t="s">
        <v>47</v>
      </c>
      <c r="B21" s="7" t="s">
        <v>45</v>
      </c>
      <c r="C21" s="7" t="s">
        <v>34</v>
      </c>
      <c r="D21" s="7" t="n">
        <v>229</v>
      </c>
      <c r="E21" s="7" t="n">
        <v>90</v>
      </c>
      <c r="F21" s="7" t="n">
        <f aca="false">ROUND(D21*E21/100,0)</f>
        <v>206</v>
      </c>
      <c r="G21" s="7" t="str">
        <f aca="false">IF(OR(B21="ESP",B21="ARG"),"Finalist","Non-finalist")</f>
        <v>Finalist</v>
      </c>
    </row>
    <row r="22" customFormat="false" ht="15" hidden="false" customHeight="false" outlineLevel="0" collapsed="false">
      <c r="A22" s="7" t="s">
        <v>48</v>
      </c>
      <c r="B22" s="7" t="s">
        <v>45</v>
      </c>
      <c r="C22" s="7" t="s">
        <v>24</v>
      </c>
      <c r="D22" s="7" t="n">
        <v>297</v>
      </c>
      <c r="E22" s="7" t="n">
        <v>90</v>
      </c>
      <c r="F22" s="7" t="n">
        <f aca="false">ROUND(D22*E22/100,0)</f>
        <v>267</v>
      </c>
      <c r="G22" s="7" t="str">
        <f aca="false">IF(OR(B22="ESP",B22="ARG"),"Finalist","Non-finalist")</f>
        <v>Finalist</v>
      </c>
    </row>
    <row r="23" customFormat="false" ht="15" hidden="false" customHeight="false" outlineLevel="0" collapsed="false">
      <c r="A23" s="7" t="s">
        <v>49</v>
      </c>
      <c r="B23" s="7" t="s">
        <v>45</v>
      </c>
      <c r="C23" s="7" t="s">
        <v>34</v>
      </c>
      <c r="D23" s="7" t="n">
        <v>86</v>
      </c>
      <c r="E23" s="7" t="n">
        <v>73</v>
      </c>
      <c r="F23" s="7" t="n">
        <f aca="false">ROUND(D23*E23/100,0)</f>
        <v>63</v>
      </c>
      <c r="G23" s="7" t="str">
        <f aca="false">IF(OR(B23="ESP",B23="ARG"),"Finalist","Non-finalist")</f>
        <v>Finalist</v>
      </c>
    </row>
    <row r="24" customFormat="false" ht="15" hidden="false" customHeight="false" outlineLevel="0" collapsed="false">
      <c r="A24" s="7" t="s">
        <v>50</v>
      </c>
      <c r="B24" s="7" t="s">
        <v>45</v>
      </c>
      <c r="C24" s="7" t="s">
        <v>34</v>
      </c>
      <c r="D24" s="7" t="n">
        <v>265</v>
      </c>
      <c r="E24" s="7" t="n">
        <v>85</v>
      </c>
      <c r="F24" s="7" t="n">
        <f aca="false">ROUND(D24*E24/100,0)</f>
        <v>225</v>
      </c>
      <c r="G24" s="7" t="str">
        <f aca="false">IF(OR(B24="ESP",B24="ARG"),"Finalist","Non-finalist")</f>
        <v>Finalist</v>
      </c>
    </row>
    <row r="25" customFormat="false" ht="15" hidden="false" customHeight="false" outlineLevel="0" collapsed="false">
      <c r="A25" s="7" t="s">
        <v>51</v>
      </c>
      <c r="B25" s="7" t="s">
        <v>45</v>
      </c>
      <c r="C25" s="7" t="s">
        <v>26</v>
      </c>
      <c r="D25" s="7" t="n">
        <v>474</v>
      </c>
      <c r="E25" s="7" t="n">
        <v>91</v>
      </c>
      <c r="F25" s="7" t="n">
        <f aca="false">ROUND(D25*E25/100,0)</f>
        <v>431</v>
      </c>
      <c r="G25" s="7" t="str">
        <f aca="false">IF(OR(B25="ESP",B25="ARG"),"Finalist","Non-finalist")</f>
        <v>Finalist</v>
      </c>
    </row>
    <row r="26" customFormat="false" ht="15" hidden="false" customHeight="false" outlineLevel="0" collapsed="false">
      <c r="A26" s="7" t="s">
        <v>52</v>
      </c>
      <c r="B26" s="7" t="s">
        <v>45</v>
      </c>
      <c r="C26" s="7" t="s">
        <v>26</v>
      </c>
      <c r="D26" s="7" t="n">
        <v>152</v>
      </c>
      <c r="E26" s="7" t="n">
        <v>93</v>
      </c>
      <c r="F26" s="7" t="n">
        <f aca="false">ROUND(D26*E26/100,0)</f>
        <v>141</v>
      </c>
      <c r="G26" s="7" t="str">
        <f aca="false">IF(OR(B26="ESP",B26="ARG"),"Finalist","Non-finalist")</f>
        <v>Finalist</v>
      </c>
    </row>
    <row r="27" customFormat="false" ht="15" hidden="false" customHeight="false" outlineLevel="0" collapsed="false">
      <c r="A27" s="7" t="s">
        <v>53</v>
      </c>
      <c r="B27" s="7" t="s">
        <v>45</v>
      </c>
      <c r="C27" s="7" t="s">
        <v>24</v>
      </c>
      <c r="D27" s="7" t="n">
        <v>101</v>
      </c>
      <c r="E27" s="7" t="n">
        <v>88</v>
      </c>
      <c r="F27" s="7" t="n">
        <f aca="false">ROUND(D27*E27/100,0)</f>
        <v>89</v>
      </c>
      <c r="G27" s="7" t="str">
        <f aca="false">IF(OR(B27="ESP",B27="ARG"),"Finalist","Non-finalist")</f>
        <v>Finalist</v>
      </c>
    </row>
    <row r="28" customFormat="false" ht="15" hidden="false" customHeight="false" outlineLevel="0" collapsed="false">
      <c r="A28" s="7" t="s">
        <v>54</v>
      </c>
      <c r="B28" s="7" t="s">
        <v>45</v>
      </c>
      <c r="C28" s="7" t="s">
        <v>34</v>
      </c>
      <c r="D28" s="7" t="n">
        <v>149</v>
      </c>
      <c r="E28" s="7" t="n">
        <v>83</v>
      </c>
      <c r="F28" s="7" t="n">
        <f aca="false">ROUND(D28*E28/100,0)</f>
        <v>124</v>
      </c>
      <c r="G28" s="7" t="str">
        <f aca="false">IF(OR(B28="ESP",B28="ARG"),"Finalist","Non-finalist")</f>
        <v>Finalist</v>
      </c>
    </row>
    <row r="29" customFormat="false" ht="15" hidden="false" customHeight="false" outlineLevel="0" collapsed="false">
      <c r="A29" s="7" t="s">
        <v>55</v>
      </c>
      <c r="B29" s="7" t="s">
        <v>45</v>
      </c>
      <c r="C29" s="7" t="s">
        <v>26</v>
      </c>
      <c r="D29" s="7" t="n">
        <v>690</v>
      </c>
      <c r="E29" s="7" t="n">
        <v>97</v>
      </c>
      <c r="F29" s="7" t="n">
        <f aca="false">ROUND(D29*E29/100,0)</f>
        <v>669</v>
      </c>
      <c r="G29" s="7" t="str">
        <f aca="false">IF(OR(B29="ESP",B29="ARG"),"Finalist","Non-finalist")</f>
        <v>Finalist</v>
      </c>
    </row>
    <row r="30" customFormat="false" ht="15" hidden="false" customHeight="false" outlineLevel="0" collapsed="false">
      <c r="A30" s="7" t="s">
        <v>56</v>
      </c>
      <c r="B30" s="7" t="s">
        <v>45</v>
      </c>
      <c r="C30" s="7" t="s">
        <v>24</v>
      </c>
      <c r="D30" s="7" t="n">
        <v>469</v>
      </c>
      <c r="E30" s="7" t="n">
        <v>90</v>
      </c>
      <c r="F30" s="7" t="n">
        <f aca="false">ROUND(D30*E30/100,0)</f>
        <v>422</v>
      </c>
      <c r="G30" s="7" t="str">
        <f aca="false">IF(OR(B30="ESP",B30="ARG"),"Finalist","Non-finalist")</f>
        <v>Finalist</v>
      </c>
    </row>
    <row r="31" customFormat="false" ht="15" hidden="false" customHeight="false" outlineLevel="0" collapsed="false">
      <c r="A31" s="7" t="s">
        <v>57</v>
      </c>
      <c r="B31" s="7" t="s">
        <v>45</v>
      </c>
      <c r="C31" s="7" t="s">
        <v>26</v>
      </c>
      <c r="D31" s="7" t="n">
        <v>420</v>
      </c>
      <c r="E31" s="7" t="n">
        <v>90</v>
      </c>
      <c r="F31" s="7" t="n">
        <f aca="false">ROUND(D31*E31/100,0)</f>
        <v>378</v>
      </c>
      <c r="G31" s="7" t="str">
        <f aca="false">IF(OR(B31="ESP",B31="ARG"),"Finalist","Non-finalist")</f>
        <v>Finalist</v>
      </c>
    </row>
    <row r="32" customFormat="false" ht="15" hidden="false" customHeight="false" outlineLevel="0" collapsed="false">
      <c r="A32" s="7" t="s">
        <v>58</v>
      </c>
      <c r="B32" s="7" t="s">
        <v>45</v>
      </c>
      <c r="C32" s="7" t="s">
        <v>24</v>
      </c>
      <c r="D32" s="7" t="n">
        <v>799</v>
      </c>
      <c r="E32" s="7" t="n">
        <v>93</v>
      </c>
      <c r="F32" s="7" t="n">
        <f aca="false">ROUND(D32*E32/100,0)</f>
        <v>743</v>
      </c>
      <c r="G32" s="7" t="str">
        <f aca="false">IF(OR(B32="ESP",B32="ARG"),"Finalist","Non-finalist")</f>
        <v>Finalist</v>
      </c>
    </row>
    <row r="33" customFormat="false" ht="15" hidden="false" customHeight="false" outlineLevel="0" collapsed="false">
      <c r="A33" s="7" t="s">
        <v>59</v>
      </c>
      <c r="B33" s="7" t="s">
        <v>45</v>
      </c>
      <c r="C33" s="7" t="s">
        <v>28</v>
      </c>
      <c r="D33" s="7" t="n">
        <v>314</v>
      </c>
      <c r="E33" s="7" t="n">
        <v>81</v>
      </c>
      <c r="F33" s="7" t="n">
        <f aca="false">ROUND(D33*E33/100,0)</f>
        <v>254</v>
      </c>
      <c r="G33" s="7" t="str">
        <f aca="false">IF(OR(B33="ESP",B33="ARG"),"Finalist","Non-finalist")</f>
        <v>Finalist</v>
      </c>
    </row>
    <row r="34" customFormat="false" ht="15" hidden="false" customHeight="false" outlineLevel="0" collapsed="false">
      <c r="A34" s="7" t="s">
        <v>60</v>
      </c>
      <c r="B34" s="7" t="s">
        <v>61</v>
      </c>
      <c r="C34" s="7" t="s">
        <v>26</v>
      </c>
      <c r="D34" s="7" t="n">
        <v>382</v>
      </c>
      <c r="E34" s="7" t="n">
        <v>93</v>
      </c>
      <c r="F34" s="7" t="n">
        <f aca="false">ROUND(D34*E34/100,0)</f>
        <v>355</v>
      </c>
      <c r="G34" s="7" t="str">
        <f aca="false">IF(OR(B34="ESP",B34="ARG"),"Finalist","Non-finalist")</f>
        <v>Non-finalist</v>
      </c>
    </row>
    <row r="35" customFormat="false" ht="15" hidden="false" customHeight="false" outlineLevel="0" collapsed="false">
      <c r="A35" s="7" t="s">
        <v>62</v>
      </c>
      <c r="B35" s="7" t="s">
        <v>61</v>
      </c>
      <c r="C35" s="7" t="s">
        <v>24</v>
      </c>
      <c r="D35" s="7" t="n">
        <v>244</v>
      </c>
      <c r="E35" s="7" t="n">
        <v>90</v>
      </c>
      <c r="F35" s="7" t="n">
        <f aca="false">ROUND(D35*E35/100,0)</f>
        <v>220</v>
      </c>
      <c r="G35" s="7" t="str">
        <f aca="false">IF(OR(B35="ESP",B35="ARG"),"Finalist","Non-finalist")</f>
        <v>Non-finalist</v>
      </c>
    </row>
    <row r="36" customFormat="false" ht="15" hidden="false" customHeight="false" outlineLevel="0" collapsed="false">
      <c r="A36" s="7" t="s">
        <v>63</v>
      </c>
      <c r="B36" s="7" t="s">
        <v>61</v>
      </c>
      <c r="C36" s="7" t="s">
        <v>24</v>
      </c>
      <c r="D36" s="7" t="n">
        <v>86</v>
      </c>
      <c r="E36" s="7" t="n">
        <v>97</v>
      </c>
      <c r="F36" s="7" t="n">
        <f aca="false">ROUND(D36*E36/100,0)</f>
        <v>83</v>
      </c>
      <c r="G36" s="7" t="str">
        <f aca="false">IF(OR(B36="ESP",B36="ARG"),"Finalist","Non-finalist")</f>
        <v>Non-finalist</v>
      </c>
    </row>
    <row r="37" customFormat="false" ht="15" hidden="false" customHeight="false" outlineLevel="0" collapsed="false">
      <c r="A37" s="7" t="s">
        <v>64</v>
      </c>
      <c r="B37" s="7" t="s">
        <v>61</v>
      </c>
      <c r="C37" s="7" t="s">
        <v>24</v>
      </c>
      <c r="D37" s="7" t="n">
        <v>84</v>
      </c>
      <c r="E37" s="7" t="n">
        <v>94</v>
      </c>
      <c r="F37" s="7" t="n">
        <f aca="false">ROUND(D37*E37/100,0)</f>
        <v>79</v>
      </c>
      <c r="G37" s="7" t="str">
        <f aca="false">IF(OR(B37="ESP",B37="ARG"),"Finalist","Non-finalist")</f>
        <v>Non-finalist</v>
      </c>
    </row>
    <row r="38" customFormat="false" ht="15" hidden="false" customHeight="false" outlineLevel="0" collapsed="false">
      <c r="A38" s="7" t="s">
        <v>65</v>
      </c>
      <c r="B38" s="7" t="s">
        <v>61</v>
      </c>
      <c r="C38" s="7" t="s">
        <v>24</v>
      </c>
      <c r="D38" s="7" t="n">
        <v>141</v>
      </c>
      <c r="E38" s="7" t="n">
        <v>79</v>
      </c>
      <c r="F38" s="7" t="n">
        <f aca="false">ROUND(D38*E38/100,0)</f>
        <v>111</v>
      </c>
      <c r="G38" s="7" t="str">
        <f aca="false">IF(OR(B38="ESP",B38="ARG"),"Finalist","Non-finalist")</f>
        <v>Non-finalist</v>
      </c>
    </row>
    <row r="39" customFormat="false" ht="15" hidden="false" customHeight="false" outlineLevel="0" collapsed="false">
      <c r="A39" s="7" t="s">
        <v>66</v>
      </c>
      <c r="B39" s="7" t="s">
        <v>61</v>
      </c>
      <c r="C39" s="7" t="s">
        <v>28</v>
      </c>
      <c r="D39" s="7" t="n">
        <v>104</v>
      </c>
      <c r="E39" s="7" t="n">
        <v>88</v>
      </c>
      <c r="F39" s="7" t="n">
        <f aca="false">ROUND(D39*E39/100,0)</f>
        <v>92</v>
      </c>
      <c r="G39" s="7" t="str">
        <f aca="false">IF(OR(B39="ESP",B39="ARG"),"Finalist","Non-finalist")</f>
        <v>Non-finalist</v>
      </c>
    </row>
    <row r="40" customFormat="false" ht="15" hidden="false" customHeight="false" outlineLevel="0" collapsed="false">
      <c r="A40" s="7" t="s">
        <v>67</v>
      </c>
      <c r="B40" s="7" t="s">
        <v>61</v>
      </c>
      <c r="C40" s="7" t="s">
        <v>24</v>
      </c>
      <c r="D40" s="7" t="n">
        <v>280</v>
      </c>
      <c r="E40" s="7" t="n">
        <v>91</v>
      </c>
      <c r="F40" s="7" t="n">
        <f aca="false">ROUND(D40*E40/100,0)</f>
        <v>255</v>
      </c>
      <c r="G40" s="7" t="str">
        <f aca="false">IF(OR(B40="ESP",B40="ARG"),"Finalist","Non-finalist")</f>
        <v>Non-finalist</v>
      </c>
    </row>
    <row r="41" customFormat="false" ht="15" hidden="false" customHeight="false" outlineLevel="0" collapsed="false">
      <c r="A41" s="7" t="s">
        <v>68</v>
      </c>
      <c r="B41" s="7" t="s">
        <v>61</v>
      </c>
      <c r="C41" s="7" t="s">
        <v>26</v>
      </c>
      <c r="D41" s="7" t="n">
        <v>183</v>
      </c>
      <c r="E41" s="7" t="n">
        <v>92</v>
      </c>
      <c r="F41" s="7" t="n">
        <f aca="false">ROUND(D41*E41/100,0)</f>
        <v>168</v>
      </c>
      <c r="G41" s="7" t="str">
        <f aca="false">IF(OR(B41="ESP",B41="ARG"),"Finalist","Non-finalist")</f>
        <v>Non-finalist</v>
      </c>
    </row>
    <row r="42" customFormat="false" ht="15" hidden="false" customHeight="false" outlineLevel="0" collapsed="false">
      <c r="A42" s="7" t="s">
        <v>69</v>
      </c>
      <c r="B42" s="7" t="s">
        <v>61</v>
      </c>
      <c r="C42" s="7" t="s">
        <v>24</v>
      </c>
      <c r="D42" s="7" t="n">
        <v>105</v>
      </c>
      <c r="E42" s="7" t="n">
        <v>92</v>
      </c>
      <c r="F42" s="7" t="n">
        <f aca="false">ROUND(D42*E42/100,0)</f>
        <v>97</v>
      </c>
      <c r="G42" s="7" t="str">
        <f aca="false">IF(OR(B42="ESP",B42="ARG"),"Finalist","Non-finalist")</f>
        <v>Non-finalist</v>
      </c>
    </row>
    <row r="43" customFormat="false" ht="15" hidden="false" customHeight="false" outlineLevel="0" collapsed="false">
      <c r="A43" s="7" t="s">
        <v>70</v>
      </c>
      <c r="B43" s="7" t="s">
        <v>61</v>
      </c>
      <c r="C43" s="7" t="s">
        <v>26</v>
      </c>
      <c r="D43" s="7" t="n">
        <v>385</v>
      </c>
      <c r="E43" s="7" t="n">
        <v>93</v>
      </c>
      <c r="F43" s="7" t="n">
        <f aca="false">ROUND(D43*E43/100,0)</f>
        <v>358</v>
      </c>
      <c r="G43" s="7" t="str">
        <f aca="false">IF(OR(B43="ESP",B43="ARG"),"Finalist","Non-finalist")</f>
        <v>Non-finalist</v>
      </c>
    </row>
    <row r="44" customFormat="false" ht="15" hidden="false" customHeight="false" outlineLevel="0" collapsed="false">
      <c r="A44" s="7" t="s">
        <v>71</v>
      </c>
      <c r="B44" s="7" t="s">
        <v>61</v>
      </c>
      <c r="C44" s="7" t="s">
        <v>26</v>
      </c>
      <c r="D44" s="7" t="n">
        <v>211</v>
      </c>
      <c r="E44" s="7" t="n">
        <v>90</v>
      </c>
      <c r="F44" s="7" t="n">
        <f aca="false">ROUND(D44*E44/100,0)</f>
        <v>190</v>
      </c>
      <c r="G44" s="7" t="str">
        <f aca="false">IF(OR(B44="ESP",B44="ARG"),"Finalist","Non-finalist")</f>
        <v>Non-finalist</v>
      </c>
    </row>
    <row r="45" customFormat="false" ht="15" hidden="false" customHeight="false" outlineLevel="0" collapsed="false">
      <c r="A45" s="7" t="s">
        <v>72</v>
      </c>
      <c r="B45" s="7" t="s">
        <v>61</v>
      </c>
      <c r="C45" s="7" t="s">
        <v>34</v>
      </c>
      <c r="D45" s="7" t="n">
        <v>147</v>
      </c>
      <c r="E45" s="7" t="n">
        <v>86</v>
      </c>
      <c r="F45" s="7" t="n">
        <f aca="false">ROUND(D45*E45/100,0)</f>
        <v>126</v>
      </c>
      <c r="G45" s="7" t="str">
        <f aca="false">IF(OR(B45="ESP",B45="ARG"),"Finalist","Non-finalist")</f>
        <v>Non-finalist</v>
      </c>
    </row>
    <row r="46" customFormat="false" ht="15" hidden="false" customHeight="false" outlineLevel="0" collapsed="false">
      <c r="A46" s="7" t="s">
        <v>73</v>
      </c>
      <c r="B46" s="7" t="s">
        <v>74</v>
      </c>
      <c r="C46" s="7" t="s">
        <v>24</v>
      </c>
      <c r="D46" s="7" t="n">
        <v>172</v>
      </c>
      <c r="E46" s="7" t="n">
        <v>83</v>
      </c>
      <c r="F46" s="7" t="n">
        <f aca="false">ROUND(D46*E46/100,0)</f>
        <v>143</v>
      </c>
      <c r="G46" s="7" t="str">
        <f aca="false">IF(OR(B46="ESP",B46="ARG"),"Finalist","Non-finalist")</f>
        <v>Non-finalist</v>
      </c>
    </row>
    <row r="47" customFormat="false" ht="15" hidden="false" customHeight="false" outlineLevel="0" collapsed="false">
      <c r="A47" s="7" t="s">
        <v>75</v>
      </c>
      <c r="B47" s="7" t="s">
        <v>74</v>
      </c>
      <c r="C47" s="7" t="s">
        <v>26</v>
      </c>
      <c r="D47" s="7" t="n">
        <v>221</v>
      </c>
      <c r="E47" s="7" t="n">
        <v>80</v>
      </c>
      <c r="F47" s="7" t="n">
        <f aca="false">ROUND(D47*E47/100,0)</f>
        <v>177</v>
      </c>
      <c r="G47" s="7" t="str">
        <f aca="false">IF(OR(B47="ESP",B47="ARG"),"Finalist","Non-finalist")</f>
        <v>Non-finalist</v>
      </c>
    </row>
    <row r="48" customFormat="false" ht="15" hidden="false" customHeight="false" outlineLevel="0" collapsed="false">
      <c r="A48" s="7" t="s">
        <v>76</v>
      </c>
      <c r="B48" s="7" t="s">
        <v>74</v>
      </c>
      <c r="C48" s="7" t="s">
        <v>26</v>
      </c>
      <c r="D48" s="7" t="n">
        <v>199</v>
      </c>
      <c r="E48" s="7" t="n">
        <v>86</v>
      </c>
      <c r="F48" s="7" t="n">
        <f aca="false">ROUND(D48*E48/100,0)</f>
        <v>171</v>
      </c>
      <c r="G48" s="7" t="str">
        <f aca="false">IF(OR(B48="ESP",B48="ARG"),"Finalist","Non-finalist")</f>
        <v>Non-finalist</v>
      </c>
    </row>
    <row r="49" customFormat="false" ht="15" hidden="false" customHeight="false" outlineLevel="0" collapsed="false">
      <c r="A49" s="7" t="s">
        <v>77</v>
      </c>
      <c r="B49" s="7" t="s">
        <v>74</v>
      </c>
      <c r="C49" s="7" t="s">
        <v>24</v>
      </c>
      <c r="D49" s="7" t="n">
        <v>124</v>
      </c>
      <c r="E49" s="7" t="n">
        <v>83</v>
      </c>
      <c r="F49" s="7" t="n">
        <f aca="false">ROUND(D49*E49/100,0)</f>
        <v>103</v>
      </c>
      <c r="G49" s="7" t="str">
        <f aca="false">IF(OR(B49="ESP",B49="ARG"),"Finalist","Non-finalist")</f>
        <v>Non-finalist</v>
      </c>
    </row>
    <row r="50" customFormat="false" ht="15" hidden="false" customHeight="false" outlineLevel="0" collapsed="false">
      <c r="A50" s="7" t="s">
        <v>78</v>
      </c>
      <c r="B50" s="7" t="s">
        <v>74</v>
      </c>
      <c r="C50" s="7" t="s">
        <v>26</v>
      </c>
      <c r="D50" s="7" t="n">
        <v>107</v>
      </c>
      <c r="E50" s="7" t="n">
        <v>88</v>
      </c>
      <c r="F50" s="7" t="n">
        <f aca="false">ROUND(D50*E50/100,0)</f>
        <v>94</v>
      </c>
      <c r="G50" s="7" t="str">
        <f aca="false">IF(OR(B50="ESP",B50="ARG"),"Finalist","Non-finalist")</f>
        <v>Non-finalist</v>
      </c>
    </row>
    <row r="51" customFormat="false" ht="15" hidden="false" customHeight="false" outlineLevel="0" collapsed="false">
      <c r="A51" s="7" t="s">
        <v>79</v>
      </c>
      <c r="B51" s="7" t="s">
        <v>74</v>
      </c>
      <c r="C51" s="7" t="s">
        <v>26</v>
      </c>
      <c r="D51" s="7" t="n">
        <v>106</v>
      </c>
      <c r="E51" s="7" t="n">
        <v>95</v>
      </c>
      <c r="F51" s="7" t="n">
        <f aca="false">ROUND(D51*E51/100,0)</f>
        <v>101</v>
      </c>
      <c r="G51" s="7" t="str">
        <f aca="false">IF(OR(B51="ESP",B51="ARG"),"Finalist","Non-finalist")</f>
        <v>Non-finalist</v>
      </c>
    </row>
    <row r="52" customFormat="false" ht="15" hidden="false" customHeight="false" outlineLevel="0" collapsed="false">
      <c r="A52" s="7" t="s">
        <v>80</v>
      </c>
      <c r="B52" s="7" t="s">
        <v>74</v>
      </c>
      <c r="C52" s="7" t="s">
        <v>28</v>
      </c>
      <c r="D52" s="7" t="n">
        <v>122</v>
      </c>
      <c r="E52" s="7" t="n">
        <v>65</v>
      </c>
      <c r="F52" s="7" t="n">
        <f aca="false">ROUND(D52*E52/100,0)</f>
        <v>79</v>
      </c>
      <c r="G52" s="7" t="str">
        <f aca="false">IF(OR(B52="ESP",B52="ARG"),"Finalist","Non-finalist")</f>
        <v>Non-finalist</v>
      </c>
    </row>
    <row r="53" customFormat="false" ht="15" hidden="false" customHeight="false" outlineLevel="0" collapsed="false">
      <c r="A53" s="7" t="s">
        <v>81</v>
      </c>
      <c r="B53" s="7" t="s">
        <v>74</v>
      </c>
      <c r="C53" s="7" t="s">
        <v>24</v>
      </c>
      <c r="D53" s="7" t="n">
        <v>89</v>
      </c>
      <c r="E53" s="7" t="n">
        <v>87</v>
      </c>
      <c r="F53" s="7" t="n">
        <f aca="false">ROUND(D53*E53/100,0)</f>
        <v>77</v>
      </c>
      <c r="G53" s="7" t="str">
        <f aca="false">IF(OR(B53="ESP",B53="ARG"),"Finalist","Non-finalist")</f>
        <v>Non-finalist</v>
      </c>
    </row>
    <row r="54" customFormat="false" ht="15" hidden="false" customHeight="false" outlineLevel="0" collapsed="false">
      <c r="A54" s="7" t="s">
        <v>82</v>
      </c>
      <c r="B54" s="7" t="s">
        <v>83</v>
      </c>
      <c r="C54" s="7" t="s">
        <v>28</v>
      </c>
      <c r="D54" s="7" t="n">
        <v>123</v>
      </c>
      <c r="E54" s="7" t="n">
        <v>86</v>
      </c>
      <c r="F54" s="7" t="n">
        <f aca="false">ROUND(D54*E54/100,0)</f>
        <v>106</v>
      </c>
      <c r="G54" s="7" t="str">
        <f aca="false">IF(OR(B54="ESP",B54="ARG"),"Finalist","Non-finalist")</f>
        <v>Non-finalist</v>
      </c>
    </row>
    <row r="55" customFormat="false" ht="15" hidden="false" customHeight="false" outlineLevel="0" collapsed="false">
      <c r="A55" s="7" t="s">
        <v>84</v>
      </c>
      <c r="B55" s="7" t="s">
        <v>83</v>
      </c>
      <c r="C55" s="7" t="s">
        <v>26</v>
      </c>
      <c r="D55" s="7" t="n">
        <v>222</v>
      </c>
      <c r="E55" s="7" t="n">
        <v>89</v>
      </c>
      <c r="F55" s="7" t="n">
        <f aca="false">ROUND(D55*E55/100,0)</f>
        <v>198</v>
      </c>
      <c r="G55" s="7" t="str">
        <f aca="false">IF(OR(B55="ESP",B55="ARG"),"Finalist","Non-finalist")</f>
        <v>Non-finalist</v>
      </c>
    </row>
    <row r="56" customFormat="false" ht="15" hidden="false" customHeight="false" outlineLevel="0" collapsed="false">
      <c r="A56" s="7" t="s">
        <v>85</v>
      </c>
      <c r="B56" s="7" t="s">
        <v>83</v>
      </c>
      <c r="C56" s="7" t="s">
        <v>26</v>
      </c>
      <c r="D56" s="7" t="n">
        <v>164</v>
      </c>
      <c r="E56" s="7" t="n">
        <v>90</v>
      </c>
      <c r="F56" s="7" t="n">
        <f aca="false">ROUND(D56*E56/100,0)</f>
        <v>148</v>
      </c>
      <c r="G56" s="7" t="str">
        <f aca="false">IF(OR(B56="ESP",B56="ARG"),"Finalist","Non-finalist")</f>
        <v>Non-finalist</v>
      </c>
    </row>
    <row r="57" customFormat="false" ht="15" hidden="false" customHeight="false" outlineLevel="0" collapsed="false">
      <c r="A57" s="7" t="s">
        <v>86</v>
      </c>
      <c r="B57" s="7" t="s">
        <v>83</v>
      </c>
      <c r="C57" s="7" t="s">
        <v>24</v>
      </c>
      <c r="D57" s="7" t="n">
        <v>150</v>
      </c>
      <c r="E57" s="7" t="n">
        <v>87</v>
      </c>
      <c r="F57" s="7" t="n">
        <f aca="false">ROUND(D57*E57/100,0)</f>
        <v>131</v>
      </c>
      <c r="G57" s="7" t="str">
        <f aca="false">IF(OR(B57="ESP",B57="ARG"),"Finalist","Non-finalist")</f>
        <v>Non-finalist</v>
      </c>
    </row>
    <row r="58" customFormat="false" ht="15" hidden="false" customHeight="false" outlineLevel="0" collapsed="false">
      <c r="A58" s="7" t="s">
        <v>87</v>
      </c>
      <c r="B58" s="7" t="s">
        <v>83</v>
      </c>
      <c r="C58" s="7" t="s">
        <v>24</v>
      </c>
      <c r="D58" s="7" t="n">
        <v>126</v>
      </c>
      <c r="E58" s="7" t="n">
        <v>75</v>
      </c>
      <c r="F58" s="7" t="n">
        <f aca="false">ROUND(D58*E58/100,0)</f>
        <v>95</v>
      </c>
      <c r="G58" s="7" t="str">
        <f aca="false">IF(OR(B58="ESP",B58="ARG"),"Finalist","Non-finalist")</f>
        <v>Non-finalist</v>
      </c>
    </row>
    <row r="59" customFormat="false" ht="15" hidden="false" customHeight="false" outlineLevel="0" collapsed="false">
      <c r="A59" s="7" t="s">
        <v>88</v>
      </c>
      <c r="B59" s="7" t="s">
        <v>83</v>
      </c>
      <c r="C59" s="7" t="s">
        <v>24</v>
      </c>
      <c r="D59" s="7" t="n">
        <v>153</v>
      </c>
      <c r="E59" s="7" t="n">
        <v>92</v>
      </c>
      <c r="F59" s="7" t="n">
        <f aca="false">ROUND(D59*E59/100,0)</f>
        <v>141</v>
      </c>
      <c r="G59" s="7" t="str">
        <f aca="false">IF(OR(B59="ESP",B59="ARG"),"Finalist","Non-finalist")</f>
        <v>Non-finalist</v>
      </c>
    </row>
    <row r="60" customFormat="false" ht="15" hidden="false" customHeight="false" outlineLevel="0" collapsed="false">
      <c r="A60" s="7" t="s">
        <v>89</v>
      </c>
      <c r="B60" s="7" t="s">
        <v>83</v>
      </c>
      <c r="C60" s="7" t="s">
        <v>26</v>
      </c>
      <c r="D60" s="7" t="n">
        <v>140</v>
      </c>
      <c r="E60" s="7" t="n">
        <v>91</v>
      </c>
      <c r="F60" s="7" t="n">
        <f aca="false">ROUND(D60*E60/100,0)</f>
        <v>127</v>
      </c>
      <c r="G60" s="7" t="str">
        <f aca="false">IF(OR(B60="ESP",B60="ARG"),"Finalist","Non-finalist")</f>
        <v>Non-finalist</v>
      </c>
    </row>
    <row r="61" customFormat="false" ht="15" hidden="false" customHeight="false" outlineLevel="0" collapsed="false">
      <c r="A61" s="7" t="s">
        <v>90</v>
      </c>
      <c r="B61" s="7" t="s">
        <v>83</v>
      </c>
      <c r="C61" s="7" t="s">
        <v>24</v>
      </c>
      <c r="D61" s="7" t="n">
        <v>91</v>
      </c>
      <c r="E61" s="7" t="n">
        <v>71</v>
      </c>
      <c r="F61" s="7" t="n">
        <f aca="false">ROUND(D61*E61/100,0)</f>
        <v>65</v>
      </c>
      <c r="G61" s="7" t="str">
        <f aca="false">IF(OR(B61="ESP",B61="ARG"),"Finalist","Non-finalist")</f>
        <v>Non-finalist</v>
      </c>
    </row>
    <row r="62" customFormat="false" ht="15" hidden="false" customHeight="false" outlineLevel="0" collapsed="false">
      <c r="A62" s="7" t="s">
        <v>91</v>
      </c>
      <c r="B62" s="7" t="s">
        <v>83</v>
      </c>
      <c r="C62" s="7" t="s">
        <v>26</v>
      </c>
      <c r="D62" s="7" t="n">
        <v>132</v>
      </c>
      <c r="E62" s="7" t="n">
        <v>74</v>
      </c>
      <c r="F62" s="7" t="n">
        <f aca="false">ROUND(D62*E62/100,0)</f>
        <v>98</v>
      </c>
      <c r="G62" s="7" t="str">
        <f aca="false">IF(OR(B62="ESP",B62="ARG"),"Finalist","Non-finalist")</f>
        <v>Non-finalist</v>
      </c>
    </row>
    <row r="63" customFormat="false" ht="15" hidden="false" customHeight="false" outlineLevel="0" collapsed="false">
      <c r="A63" s="7" t="s">
        <v>92</v>
      </c>
      <c r="B63" s="7" t="s">
        <v>83</v>
      </c>
      <c r="C63" s="7" t="s">
        <v>24</v>
      </c>
      <c r="D63" s="7" t="n">
        <v>138</v>
      </c>
      <c r="E63" s="7" t="n">
        <v>94</v>
      </c>
      <c r="F63" s="7" t="n">
        <f aca="false">ROUND(D63*E63/100,0)</f>
        <v>130</v>
      </c>
      <c r="G63" s="7" t="str">
        <f aca="false">IF(OR(B63="ESP",B63="ARG"),"Finalist","Non-finalist")</f>
        <v>Non-finalist</v>
      </c>
    </row>
    <row r="64" customFormat="false" ht="15" hidden="false" customHeight="false" outlineLevel="0" collapsed="false">
      <c r="A64" s="7" t="s">
        <v>93</v>
      </c>
      <c r="B64" s="7" t="s">
        <v>94</v>
      </c>
      <c r="C64" s="7" t="s">
        <v>26</v>
      </c>
      <c r="D64" s="7" t="n">
        <v>164</v>
      </c>
      <c r="E64" s="7" t="n">
        <v>93</v>
      </c>
      <c r="F64" s="7" t="n">
        <f aca="false">ROUND(D64*E64/100,0)</f>
        <v>153</v>
      </c>
      <c r="G64" s="7" t="str">
        <f aca="false">IF(OR(B64="ESP",B64="ARG"),"Finalist","Non-finalist")</f>
        <v>Non-finalist</v>
      </c>
    </row>
    <row r="65" customFormat="false" ht="15" hidden="false" customHeight="false" outlineLevel="0" collapsed="false">
      <c r="A65" s="7" t="s">
        <v>95</v>
      </c>
      <c r="B65" s="7" t="s">
        <v>94</v>
      </c>
      <c r="C65" s="7" t="s">
        <v>26</v>
      </c>
      <c r="D65" s="7" t="n">
        <v>399</v>
      </c>
      <c r="E65" s="7" t="n">
        <v>92</v>
      </c>
      <c r="F65" s="7" t="n">
        <f aca="false">ROUND(D65*E65/100,0)</f>
        <v>367</v>
      </c>
      <c r="G65" s="7" t="str">
        <f aca="false">IF(OR(B65="ESP",B65="ARG"),"Finalist","Non-finalist")</f>
        <v>Non-finalist</v>
      </c>
    </row>
    <row r="66" customFormat="false" ht="15" hidden="false" customHeight="false" outlineLevel="0" collapsed="false">
      <c r="A66" s="7" t="s">
        <v>96</v>
      </c>
      <c r="B66" s="7" t="s">
        <v>94</v>
      </c>
      <c r="C66" s="7" t="s">
        <v>34</v>
      </c>
      <c r="D66" s="7" t="n">
        <v>91</v>
      </c>
      <c r="E66" s="7" t="n">
        <v>79</v>
      </c>
      <c r="F66" s="7" t="n">
        <f aca="false">ROUND(D66*E66/100,0)</f>
        <v>72</v>
      </c>
      <c r="G66" s="7" t="str">
        <f aca="false">IF(OR(B66="ESP",B66="ARG"),"Finalist","Non-finalist")</f>
        <v>Non-finalist</v>
      </c>
    </row>
    <row r="67" customFormat="false" ht="15" hidden="false" customHeight="false" outlineLevel="0" collapsed="false">
      <c r="A67" s="7" t="s">
        <v>97</v>
      </c>
      <c r="B67" s="7" t="s">
        <v>94</v>
      </c>
      <c r="C67" s="7" t="s">
        <v>24</v>
      </c>
      <c r="D67" s="7" t="n">
        <v>164</v>
      </c>
      <c r="E67" s="7" t="n">
        <v>93</v>
      </c>
      <c r="F67" s="7" t="n">
        <f aca="false">ROUND(D67*E67/100,0)</f>
        <v>153</v>
      </c>
      <c r="G67" s="7" t="str">
        <f aca="false">IF(OR(B67="ESP",B67="ARG"),"Finalist","Non-finalist")</f>
        <v>Non-finalist</v>
      </c>
    </row>
    <row r="68" customFormat="false" ht="15" hidden="false" customHeight="false" outlineLevel="0" collapsed="false">
      <c r="A68" s="7" t="s">
        <v>98</v>
      </c>
      <c r="B68" s="7" t="s">
        <v>94</v>
      </c>
      <c r="C68" s="7" t="s">
        <v>34</v>
      </c>
      <c r="D68" s="7" t="n">
        <v>90</v>
      </c>
      <c r="E68" s="7" t="n">
        <v>82</v>
      </c>
      <c r="F68" s="7" t="n">
        <f aca="false">ROUND(D68*E68/100,0)</f>
        <v>74</v>
      </c>
      <c r="G68" s="7" t="str">
        <f aca="false">IF(OR(B68="ESP",B68="ARG"),"Finalist","Non-finalist")</f>
        <v>Non-finalist</v>
      </c>
    </row>
    <row r="69" customFormat="false" ht="15" hidden="false" customHeight="false" outlineLevel="0" collapsed="false">
      <c r="A69" s="7" t="s">
        <v>99</v>
      </c>
      <c r="B69" s="7" t="s">
        <v>94</v>
      </c>
      <c r="C69" s="7" t="s">
        <v>24</v>
      </c>
      <c r="D69" s="7" t="n">
        <v>185</v>
      </c>
      <c r="E69" s="7" t="n">
        <v>83</v>
      </c>
      <c r="F69" s="7" t="n">
        <f aca="false">ROUND(D69*E69/100,0)</f>
        <v>154</v>
      </c>
      <c r="G69" s="7" t="str">
        <f aca="false">IF(OR(B69="ESP",B69="ARG"),"Finalist","Non-finalist")</f>
        <v>Non-finalist</v>
      </c>
    </row>
    <row r="70" customFormat="false" ht="15" hidden="false" customHeight="false" outlineLevel="0" collapsed="false">
      <c r="A70" s="7" t="s">
        <v>100</v>
      </c>
      <c r="B70" s="7" t="s">
        <v>94</v>
      </c>
      <c r="C70" s="7" t="s">
        <v>34</v>
      </c>
      <c r="D70" s="7" t="n">
        <v>199</v>
      </c>
      <c r="E70" s="7" t="n">
        <v>86</v>
      </c>
      <c r="F70" s="7" t="n">
        <f aca="false">ROUND(D70*E70/100,0)</f>
        <v>171</v>
      </c>
      <c r="G70" s="7" t="str">
        <f aca="false">IF(OR(B70="ESP",B70="ARG"),"Finalist","Non-finalist")</f>
        <v>Non-finalist</v>
      </c>
    </row>
    <row r="71" customFormat="false" ht="15" hidden="false" customHeight="false" outlineLevel="0" collapsed="false">
      <c r="A71" s="7" t="s">
        <v>101</v>
      </c>
      <c r="B71" s="7" t="s">
        <v>94</v>
      </c>
      <c r="C71" s="7" t="s">
        <v>26</v>
      </c>
      <c r="D71" s="7" t="n">
        <v>246</v>
      </c>
      <c r="E71" s="7" t="n">
        <v>83</v>
      </c>
      <c r="F71" s="7" t="n">
        <f aca="false">ROUND(D71*E71/100,0)</f>
        <v>204</v>
      </c>
      <c r="G71" s="7" t="str">
        <f aca="false">IF(OR(B71="ESP",B71="ARG"),"Finalist","Non-finalist")</f>
        <v>Non-finalist</v>
      </c>
    </row>
    <row r="72" customFormat="false" ht="15" hidden="false" customHeight="false" outlineLevel="0" collapsed="false">
      <c r="A72" s="7" t="s">
        <v>102</v>
      </c>
      <c r="B72" s="7" t="s">
        <v>94</v>
      </c>
      <c r="C72" s="7" t="s">
        <v>26</v>
      </c>
      <c r="D72" s="7" t="n">
        <v>219</v>
      </c>
      <c r="E72" s="7" t="n">
        <v>94</v>
      </c>
      <c r="F72" s="7" t="n">
        <f aca="false">ROUND(D72*E72/100,0)</f>
        <v>206</v>
      </c>
      <c r="G72" s="7" t="str">
        <f aca="false">IF(OR(B72="ESP",B72="ARG"),"Finalist","Non-finalist")</f>
        <v>Non-finalist</v>
      </c>
    </row>
    <row r="73" customFormat="false" ht="15" hidden="false" customHeight="false" outlineLevel="0" collapsed="false">
      <c r="A73" s="7" t="s">
        <v>103</v>
      </c>
      <c r="B73" s="7" t="s">
        <v>94</v>
      </c>
      <c r="C73" s="7" t="s">
        <v>24</v>
      </c>
      <c r="D73" s="7" t="n">
        <v>230</v>
      </c>
      <c r="E73" s="7" t="n">
        <v>86</v>
      </c>
      <c r="F73" s="7" t="n">
        <f aca="false">ROUND(D73*E73/100,0)</f>
        <v>198</v>
      </c>
      <c r="G73" s="7" t="str">
        <f aca="false">IF(OR(B73="ESP",B73="ARG"),"Finalist","Non-finalist")</f>
        <v>Non-finalist</v>
      </c>
    </row>
    <row r="74" customFormat="false" ht="15" hidden="false" customHeight="false" outlineLevel="0" collapsed="false">
      <c r="A74" s="7" t="s">
        <v>104</v>
      </c>
      <c r="B74" s="7" t="s">
        <v>94</v>
      </c>
      <c r="C74" s="7" t="s">
        <v>28</v>
      </c>
      <c r="D74" s="7" t="n">
        <v>198</v>
      </c>
      <c r="E74" s="7" t="n">
        <v>73</v>
      </c>
      <c r="F74" s="7" t="n">
        <f aca="false">ROUND(D74*E74/100,0)</f>
        <v>145</v>
      </c>
      <c r="G74" s="7" t="str">
        <f aca="false">IF(OR(B74="ESP",B74="ARG"),"Finalist","Non-finalist")</f>
        <v>Non-finalist</v>
      </c>
    </row>
    <row r="75" customFormat="false" ht="15" hidden="false" customHeight="false" outlineLevel="0" collapsed="false">
      <c r="A75" s="7" t="s">
        <v>105</v>
      </c>
      <c r="B75" s="7" t="s">
        <v>94</v>
      </c>
      <c r="C75" s="7" t="s">
        <v>26</v>
      </c>
      <c r="D75" s="7" t="n">
        <v>116</v>
      </c>
      <c r="E75" s="7" t="n">
        <v>84</v>
      </c>
      <c r="F75" s="7" t="n">
        <f aca="false">ROUND(D75*E75/100,0)</f>
        <v>97</v>
      </c>
      <c r="G75" s="7" t="str">
        <f aca="false">IF(OR(B75="ESP",B75="ARG"),"Finalist","Non-finalist")</f>
        <v>Non-finalist</v>
      </c>
    </row>
    <row r="76" customFormat="false" ht="15" hidden="false" customHeight="false" outlineLevel="0" collapsed="false">
      <c r="A76" s="7" t="s">
        <v>106</v>
      </c>
      <c r="B76" s="7" t="s">
        <v>94</v>
      </c>
      <c r="C76" s="7" t="s">
        <v>26</v>
      </c>
      <c r="D76" s="7" t="n">
        <v>263</v>
      </c>
      <c r="E76" s="7" t="n">
        <v>87</v>
      </c>
      <c r="F76" s="7" t="n">
        <f aca="false">ROUND(D76*E76/100,0)</f>
        <v>229</v>
      </c>
      <c r="G76" s="7" t="str">
        <f aca="false">IF(OR(B76="ESP",B76="ARG"),"Finalist","Non-finalist")</f>
        <v>Non-finalist</v>
      </c>
    </row>
    <row r="77" customFormat="false" ht="15" hidden="false" customHeight="false" outlineLevel="0" collapsed="false">
      <c r="A77" s="7" t="s">
        <v>107</v>
      </c>
      <c r="B77" s="7" t="s">
        <v>94</v>
      </c>
      <c r="C77" s="7" t="s">
        <v>24</v>
      </c>
      <c r="D77" s="7" t="n">
        <v>255</v>
      </c>
      <c r="E77" s="7" t="n">
        <v>87</v>
      </c>
      <c r="F77" s="7" t="n">
        <f aca="false">ROUND(D77*E77/100,0)</f>
        <v>222</v>
      </c>
      <c r="G77" s="7" t="str">
        <f aca="false">IF(OR(B77="ESP",B77="ARG"),"Finalist","Non-finalist")</f>
        <v>Non-finalist</v>
      </c>
    </row>
    <row r="78" customFormat="false" ht="15" hidden="false" customHeight="false" outlineLevel="0" collapsed="false">
      <c r="A78" s="7" t="s">
        <v>108</v>
      </c>
      <c r="B78" s="7" t="s">
        <v>109</v>
      </c>
      <c r="C78" s="7" t="s">
        <v>26</v>
      </c>
      <c r="D78" s="7" t="n">
        <v>99</v>
      </c>
      <c r="E78" s="7" t="n">
        <v>81</v>
      </c>
      <c r="F78" s="7" t="n">
        <f aca="false">ROUND(D78*E78/100,0)</f>
        <v>80</v>
      </c>
      <c r="G78" s="7" t="str">
        <f aca="false">IF(OR(B78="ESP",B78="ARG"),"Finalist","Non-finalist")</f>
        <v>Non-finalist</v>
      </c>
    </row>
    <row r="79" customFormat="false" ht="15" hidden="false" customHeight="false" outlineLevel="0" collapsed="false">
      <c r="A79" s="7" t="s">
        <v>110</v>
      </c>
      <c r="B79" s="7" t="s">
        <v>109</v>
      </c>
      <c r="C79" s="7" t="s">
        <v>24</v>
      </c>
      <c r="D79" s="7" t="n">
        <v>107</v>
      </c>
      <c r="E79" s="7" t="n">
        <v>85</v>
      </c>
      <c r="F79" s="7" t="n">
        <f aca="false">ROUND(D79*E79/100,0)</f>
        <v>91</v>
      </c>
      <c r="G79" s="7" t="str">
        <f aca="false">IF(OR(B79="ESP",B79="ARG"),"Finalist","Non-finalist")</f>
        <v>Non-finalist</v>
      </c>
    </row>
    <row r="80" customFormat="false" ht="15" hidden="false" customHeight="false" outlineLevel="0" collapsed="false">
      <c r="A80" s="7" t="s">
        <v>111</v>
      </c>
      <c r="B80" s="7" t="s">
        <v>109</v>
      </c>
      <c r="C80" s="7" t="s">
        <v>24</v>
      </c>
      <c r="D80" s="7" t="n">
        <v>104</v>
      </c>
      <c r="E80" s="7" t="n">
        <v>92</v>
      </c>
      <c r="F80" s="7" t="n">
        <f aca="false">ROUND(D80*E80/100,0)</f>
        <v>96</v>
      </c>
      <c r="G80" s="7" t="str">
        <f aca="false">IF(OR(B80="ESP",B80="ARG"),"Finalist","Non-finalist")</f>
        <v>Non-finalist</v>
      </c>
    </row>
    <row r="81" customFormat="false" ht="15" hidden="false" customHeight="false" outlineLevel="0" collapsed="false">
      <c r="A81" s="7" t="s">
        <v>112</v>
      </c>
      <c r="B81" s="7" t="s">
        <v>109</v>
      </c>
      <c r="C81" s="7" t="s">
        <v>24</v>
      </c>
      <c r="D81" s="7" t="n">
        <v>102</v>
      </c>
      <c r="E81" s="7" t="n">
        <v>86</v>
      </c>
      <c r="F81" s="7" t="n">
        <f aca="false">ROUND(D81*E81/100,0)</f>
        <v>88</v>
      </c>
      <c r="G81" s="7" t="str">
        <f aca="false">IF(OR(B81="ESP",B81="ARG"),"Finalist","Non-finalist")</f>
        <v>Non-finalist</v>
      </c>
    </row>
    <row r="82" customFormat="false" ht="15" hidden="false" customHeight="false" outlineLevel="0" collapsed="false">
      <c r="A82" s="7" t="s">
        <v>113</v>
      </c>
      <c r="B82" s="7" t="s">
        <v>109</v>
      </c>
      <c r="C82" s="7" t="s">
        <v>34</v>
      </c>
      <c r="D82" s="7" t="n">
        <v>90</v>
      </c>
      <c r="E82" s="7" t="n">
        <v>77</v>
      </c>
      <c r="F82" s="7" t="n">
        <f aca="false">ROUND(D82*E82/100,0)</f>
        <v>69</v>
      </c>
      <c r="G82" s="7" t="str">
        <f aca="false">IF(OR(B82="ESP",B82="ARG"),"Finalist","Non-finalist")</f>
        <v>Non-finalist</v>
      </c>
    </row>
    <row r="83" customFormat="false" ht="15" hidden="false" customHeight="false" outlineLevel="0" collapsed="false">
      <c r="A83" s="7" t="s">
        <v>114</v>
      </c>
      <c r="B83" s="7" t="s">
        <v>109</v>
      </c>
      <c r="C83" s="7" t="s">
        <v>26</v>
      </c>
      <c r="D83" s="7" t="n">
        <v>165</v>
      </c>
      <c r="E83" s="7" t="n">
        <v>90</v>
      </c>
      <c r="F83" s="7" t="n">
        <f aca="false">ROUND(D83*E83/100,0)</f>
        <v>149</v>
      </c>
      <c r="G83" s="7" t="str">
        <f aca="false">IF(OR(B83="ESP",B83="ARG"),"Finalist","Non-finalist")</f>
        <v>Non-finalist</v>
      </c>
    </row>
    <row r="84" customFormat="false" ht="15" hidden="false" customHeight="false" outlineLevel="0" collapsed="false">
      <c r="A84" s="7" t="s">
        <v>115</v>
      </c>
      <c r="B84" s="7" t="s">
        <v>109</v>
      </c>
      <c r="C84" s="7" t="s">
        <v>28</v>
      </c>
      <c r="D84" s="7" t="n">
        <v>155</v>
      </c>
      <c r="E84" s="7" t="n">
        <v>61</v>
      </c>
      <c r="F84" s="7" t="n">
        <f aca="false">ROUND(D84*E84/100,0)</f>
        <v>95</v>
      </c>
      <c r="G84" s="7" t="str">
        <f aca="false">IF(OR(B84="ESP",B84="ARG"),"Finalist","Non-finalist")</f>
        <v>Non-finalist</v>
      </c>
    </row>
    <row r="85" customFormat="false" ht="15" hidden="false" customHeight="false" outlineLevel="0" collapsed="false">
      <c r="A85" s="7" t="s">
        <v>116</v>
      </c>
      <c r="B85" s="7" t="s">
        <v>109</v>
      </c>
      <c r="C85" s="7" t="s">
        <v>26</v>
      </c>
      <c r="D85" s="7" t="n">
        <v>173</v>
      </c>
      <c r="E85" s="7" t="n">
        <v>82</v>
      </c>
      <c r="F85" s="7" t="n">
        <f aca="false">ROUND(D85*E85/100,0)</f>
        <v>142</v>
      </c>
      <c r="G85" s="7" t="str">
        <f aca="false">IF(OR(B85="ESP",B85="ARG"),"Finalist","Non-finalist")</f>
        <v>Non-finalist</v>
      </c>
    </row>
    <row r="86" customFormat="false" ht="15" hidden="false" customHeight="false" outlineLevel="0" collapsed="false">
      <c r="A86" s="7" t="s">
        <v>117</v>
      </c>
      <c r="B86" s="7" t="s">
        <v>109</v>
      </c>
      <c r="C86" s="7" t="s">
        <v>26</v>
      </c>
      <c r="D86" s="7" t="n">
        <v>153</v>
      </c>
      <c r="E86" s="7" t="n">
        <v>90</v>
      </c>
      <c r="F86" s="7" t="n">
        <f aca="false">ROUND(D86*E86/100,0)</f>
        <v>138</v>
      </c>
      <c r="G86" s="7" t="str">
        <f aca="false">IF(OR(B86="ESP",B86="ARG"),"Finalist","Non-finalist")</f>
        <v>Non-finalist</v>
      </c>
    </row>
    <row r="87" customFormat="false" ht="15" hidden="false" customHeight="false" outlineLevel="0" collapsed="false">
      <c r="A87" s="7" t="s">
        <v>118</v>
      </c>
      <c r="B87" s="7" t="s">
        <v>109</v>
      </c>
      <c r="C87" s="7" t="s">
        <v>26</v>
      </c>
      <c r="D87" s="7" t="n">
        <v>153</v>
      </c>
      <c r="E87" s="7" t="n">
        <v>86</v>
      </c>
      <c r="F87" s="7" t="n">
        <f aca="false">ROUND(D87*E87/100,0)</f>
        <v>132</v>
      </c>
      <c r="G87" s="7" t="str">
        <f aca="false">IF(OR(B87="ESP",B87="ARG"),"Finalist","Non-finalist")</f>
        <v>Non-finalist</v>
      </c>
    </row>
    <row r="88" customFormat="false" ht="15" hidden="false" customHeight="false" outlineLevel="0" collapsed="false">
      <c r="A88" s="7" t="s">
        <v>119</v>
      </c>
      <c r="B88" s="7" t="s">
        <v>120</v>
      </c>
      <c r="C88" s="7" t="s">
        <v>28</v>
      </c>
      <c r="D88" s="7" t="n">
        <v>132</v>
      </c>
      <c r="E88" s="7" t="n">
        <v>81</v>
      </c>
      <c r="F88" s="7" t="n">
        <f aca="false">ROUND(D88*E88/100,0)</f>
        <v>107</v>
      </c>
      <c r="G88" s="7" t="str">
        <f aca="false">IF(OR(B88="ESP",B88="ARG"),"Finalist","Non-finalist")</f>
        <v>Non-finalist</v>
      </c>
    </row>
    <row r="89" customFormat="false" ht="15" hidden="false" customHeight="false" outlineLevel="0" collapsed="false">
      <c r="A89" s="7" t="s">
        <v>121</v>
      </c>
      <c r="B89" s="7" t="s">
        <v>120</v>
      </c>
      <c r="C89" s="7" t="s">
        <v>24</v>
      </c>
      <c r="D89" s="7" t="n">
        <v>200</v>
      </c>
      <c r="E89" s="7" t="n">
        <v>81</v>
      </c>
      <c r="F89" s="7" t="n">
        <f aca="false">ROUND(D89*E89/100,0)</f>
        <v>162</v>
      </c>
      <c r="G89" s="7" t="str">
        <f aca="false">IF(OR(B89="ESP",B89="ARG"),"Finalist","Non-finalist")</f>
        <v>Non-finalist</v>
      </c>
    </row>
    <row r="90" customFormat="false" ht="15" hidden="false" customHeight="false" outlineLevel="0" collapsed="false">
      <c r="A90" s="7" t="s">
        <v>122</v>
      </c>
      <c r="B90" s="7" t="s">
        <v>120</v>
      </c>
      <c r="C90" s="7" t="s">
        <v>24</v>
      </c>
      <c r="D90" s="7" t="n">
        <v>224</v>
      </c>
      <c r="E90" s="7" t="n">
        <v>89</v>
      </c>
      <c r="F90" s="7" t="n">
        <f aca="false">ROUND(D90*E90/100,0)</f>
        <v>199</v>
      </c>
      <c r="G90" s="7" t="str">
        <f aca="false">IF(OR(B90="ESP",B90="ARG"),"Finalist","Non-finalist")</f>
        <v>Non-finalist</v>
      </c>
    </row>
    <row r="91" customFormat="false" ht="15" hidden="false" customHeight="false" outlineLevel="0" collapsed="false">
      <c r="A91" s="7" t="s">
        <v>123</v>
      </c>
      <c r="B91" s="7" t="s">
        <v>120</v>
      </c>
      <c r="C91" s="7" t="s">
        <v>26</v>
      </c>
      <c r="D91" s="7" t="n">
        <v>294</v>
      </c>
      <c r="E91" s="7" t="n">
        <v>89</v>
      </c>
      <c r="F91" s="7" t="n">
        <f aca="false">ROUND(D91*E91/100,0)</f>
        <v>262</v>
      </c>
      <c r="G91" s="7" t="str">
        <f aca="false">IF(OR(B91="ESP",B91="ARG"),"Finalist","Non-finalist")</f>
        <v>Non-finalist</v>
      </c>
    </row>
    <row r="92" customFormat="false" ht="15" hidden="false" customHeight="false" outlineLevel="0" collapsed="false">
      <c r="A92" s="7" t="s">
        <v>124</v>
      </c>
      <c r="B92" s="7" t="s">
        <v>120</v>
      </c>
      <c r="C92" s="7" t="s">
        <v>26</v>
      </c>
      <c r="D92" s="7" t="n">
        <v>275</v>
      </c>
      <c r="E92" s="7" t="n">
        <v>93</v>
      </c>
      <c r="F92" s="7" t="n">
        <f aca="false">ROUND(D92*E92/100,0)</f>
        <v>256</v>
      </c>
      <c r="G92" s="7" t="str">
        <f aca="false">IF(OR(B92="ESP",B92="ARG"),"Finalist","Non-finalist")</f>
        <v>Non-finalist</v>
      </c>
    </row>
    <row r="93" customFormat="false" ht="15" hidden="false" customHeight="false" outlineLevel="0" collapsed="false">
      <c r="A93" s="7" t="s">
        <v>125</v>
      </c>
      <c r="B93" s="7" t="s">
        <v>120</v>
      </c>
      <c r="C93" s="7" t="s">
        <v>26</v>
      </c>
      <c r="D93" s="7" t="n">
        <v>431</v>
      </c>
      <c r="E93" s="7" t="n">
        <v>96</v>
      </c>
      <c r="F93" s="7" t="n">
        <f aca="false">ROUND(D93*E93/100,0)</f>
        <v>414</v>
      </c>
      <c r="G93" s="7" t="str">
        <f aca="false">IF(OR(B93="ESP",B93="ARG"),"Finalist","Non-finalist")</f>
        <v>Non-finalist</v>
      </c>
    </row>
    <row r="94" customFormat="false" ht="15" hidden="false" customHeight="false" outlineLevel="0" collapsed="false">
      <c r="A94" s="7" t="s">
        <v>126</v>
      </c>
      <c r="B94" s="7" t="s">
        <v>120</v>
      </c>
      <c r="C94" s="7" t="s">
        <v>24</v>
      </c>
      <c r="D94" s="7" t="n">
        <v>190</v>
      </c>
      <c r="E94" s="7" t="n">
        <v>85</v>
      </c>
      <c r="F94" s="7" t="n">
        <f aca="false">ROUND(D94*E94/100,0)</f>
        <v>162</v>
      </c>
      <c r="G94" s="7" t="str">
        <f aca="false">IF(OR(B94="ESP",B94="ARG"),"Finalist","Non-finalist")</f>
        <v>Non-finalist</v>
      </c>
    </row>
    <row r="95" customFormat="false" ht="15" hidden="false" customHeight="false" outlineLevel="0" collapsed="false">
      <c r="A95" s="7" t="s">
        <v>127</v>
      </c>
      <c r="B95" s="7" t="s">
        <v>120</v>
      </c>
      <c r="C95" s="7" t="s">
        <v>26</v>
      </c>
      <c r="D95" s="7" t="n">
        <v>380</v>
      </c>
      <c r="E95" s="7" t="n">
        <v>97</v>
      </c>
      <c r="F95" s="7" t="n">
        <f aca="false">ROUND(D95*E95/100,0)</f>
        <v>369</v>
      </c>
      <c r="G95" s="7" t="str">
        <f aca="false">IF(OR(B95="ESP",B95="ARG"),"Finalist","Non-finalist")</f>
        <v>Non-finalist</v>
      </c>
    </row>
    <row r="96" customFormat="false" ht="15" hidden="false" customHeight="false" outlineLevel="0" collapsed="false">
      <c r="A96" s="7" t="s">
        <v>128</v>
      </c>
      <c r="B96" s="7" t="s">
        <v>120</v>
      </c>
      <c r="C96" s="7" t="s">
        <v>34</v>
      </c>
      <c r="D96" s="7" t="n">
        <v>90</v>
      </c>
      <c r="E96" s="7" t="n">
        <v>87</v>
      </c>
      <c r="F96" s="7" t="n">
        <f aca="false">ROUND(D96*E96/100,0)</f>
        <v>78</v>
      </c>
      <c r="G96" s="7" t="str">
        <f aca="false">IF(OR(B96="ESP",B96="ARG"),"Finalist","Non-finalist")</f>
        <v>Non-finalist</v>
      </c>
    </row>
    <row r="97" customFormat="false" ht="15" hidden="false" customHeight="false" outlineLevel="0" collapsed="false">
      <c r="A97" s="7" t="s">
        <v>129</v>
      </c>
      <c r="B97" s="7" t="s">
        <v>120</v>
      </c>
      <c r="C97" s="7" t="s">
        <v>34</v>
      </c>
      <c r="D97" s="7" t="n">
        <v>99</v>
      </c>
      <c r="E97" s="7" t="n">
        <v>94</v>
      </c>
      <c r="F97" s="7" t="n">
        <f aca="false">ROUND(D97*E97/100,0)</f>
        <v>93</v>
      </c>
      <c r="G97" s="7" t="str">
        <f aca="false">IF(OR(B97="ESP",B97="ARG"),"Finalist","Non-finalist")</f>
        <v>Non-finalist</v>
      </c>
    </row>
    <row r="98" customFormat="false" ht="15" hidden="false" customHeight="false" outlineLevel="0" collapsed="false">
      <c r="A98" s="7" t="s">
        <v>130</v>
      </c>
      <c r="B98" s="7" t="s">
        <v>120</v>
      </c>
      <c r="C98" s="7" t="s">
        <v>34</v>
      </c>
      <c r="D98" s="7" t="n">
        <v>142</v>
      </c>
      <c r="E98" s="7" t="n">
        <v>82</v>
      </c>
      <c r="F98" s="7" t="n">
        <f aca="false">ROUND(D98*E98/100,0)</f>
        <v>116</v>
      </c>
      <c r="G98" s="7" t="str">
        <f aca="false">IF(OR(B98="ESP",B98="ARG"),"Finalist","Non-finalist")</f>
        <v>Non-finalist</v>
      </c>
    </row>
    <row r="99" customFormat="false" ht="15" hidden="false" customHeight="false" outlineLevel="0" collapsed="false">
      <c r="A99" s="7" t="s">
        <v>131</v>
      </c>
      <c r="B99" s="7" t="s">
        <v>132</v>
      </c>
      <c r="C99" s="7" t="s">
        <v>26</v>
      </c>
      <c r="D99" s="7" t="n">
        <v>240</v>
      </c>
      <c r="E99" s="7" t="n">
        <v>77</v>
      </c>
      <c r="F99" s="7" t="n">
        <f aca="false">ROUND(D99*E99/100,0)</f>
        <v>185</v>
      </c>
      <c r="G99" s="7" t="str">
        <f aca="false">IF(OR(B99="ESP",B99="ARG"),"Finalist","Non-finalist")</f>
        <v>Non-finalist</v>
      </c>
    </row>
    <row r="100" customFormat="false" ht="15" hidden="false" customHeight="false" outlineLevel="0" collapsed="false">
      <c r="A100" s="7" t="s">
        <v>133</v>
      </c>
      <c r="B100" s="7" t="s">
        <v>132</v>
      </c>
      <c r="C100" s="7" t="s">
        <v>26</v>
      </c>
      <c r="D100" s="7" t="n">
        <v>170</v>
      </c>
      <c r="E100" s="7" t="n">
        <v>89</v>
      </c>
      <c r="F100" s="7" t="n">
        <f aca="false">ROUND(D100*E100/100,0)</f>
        <v>151</v>
      </c>
      <c r="G100" s="7" t="str">
        <f aca="false">IF(OR(B100="ESP",B100="ARG"),"Finalist","Non-finalist")</f>
        <v>Non-finalist</v>
      </c>
    </row>
    <row r="101" customFormat="false" ht="15" hidden="false" customHeight="false" outlineLevel="0" collapsed="false">
      <c r="A101" s="7" t="s">
        <v>134</v>
      </c>
      <c r="B101" s="7" t="s">
        <v>132</v>
      </c>
      <c r="C101" s="7" t="s">
        <v>24</v>
      </c>
      <c r="D101" s="7" t="n">
        <v>108</v>
      </c>
      <c r="E101" s="7" t="n">
        <v>86</v>
      </c>
      <c r="F101" s="7" t="n">
        <f aca="false">ROUND(D101*E101/100,0)</f>
        <v>93</v>
      </c>
      <c r="G101" s="7" t="str">
        <f aca="false">IF(OR(B101="ESP",B101="ARG"),"Finalist","Non-finalist")</f>
        <v>Non-finalist</v>
      </c>
    </row>
    <row r="102" customFormat="false" ht="15" hidden="false" customHeight="false" outlineLevel="0" collapsed="false">
      <c r="A102" s="7" t="s">
        <v>135</v>
      </c>
      <c r="B102" s="7" t="s">
        <v>132</v>
      </c>
      <c r="C102" s="7" t="s">
        <v>34</v>
      </c>
      <c r="D102" s="7" t="n">
        <v>103</v>
      </c>
      <c r="E102" s="7" t="n">
        <v>74</v>
      </c>
      <c r="F102" s="7" t="n">
        <f aca="false">ROUND(D102*E102/100,0)</f>
        <v>76</v>
      </c>
      <c r="G102" s="7" t="str">
        <f aca="false">IF(OR(B102="ESP",B102="ARG"),"Finalist","Non-finalist")</f>
        <v>Non-finalist</v>
      </c>
    </row>
    <row r="103" customFormat="false" ht="15" hidden="false" customHeight="false" outlineLevel="0" collapsed="false">
      <c r="A103" s="7" t="s">
        <v>136</v>
      </c>
      <c r="B103" s="7" t="s">
        <v>132</v>
      </c>
      <c r="C103" s="7" t="s">
        <v>26</v>
      </c>
      <c r="D103" s="7" t="n">
        <v>191</v>
      </c>
      <c r="E103" s="7" t="n">
        <v>89</v>
      </c>
      <c r="F103" s="7" t="n">
        <f aca="false">ROUND(D103*E103/100,0)</f>
        <v>170</v>
      </c>
      <c r="G103" s="7" t="str">
        <f aca="false">IF(OR(B103="ESP",B103="ARG"),"Finalist","Non-finalist")</f>
        <v>Non-finalist</v>
      </c>
    </row>
    <row r="104" customFormat="false" ht="15" hidden="false" customHeight="false" outlineLevel="0" collapsed="false">
      <c r="A104" s="7" t="s">
        <v>137</v>
      </c>
      <c r="B104" s="7" t="s">
        <v>132</v>
      </c>
      <c r="C104" s="7" t="s">
        <v>28</v>
      </c>
      <c r="D104" s="7" t="n">
        <v>123</v>
      </c>
      <c r="E104" s="7" t="n">
        <v>75</v>
      </c>
      <c r="F104" s="7" t="n">
        <f aca="false">ROUND(D104*E104/100,0)</f>
        <v>92</v>
      </c>
      <c r="G104" s="7" t="str">
        <f aca="false">IF(OR(B104="ESP",B104="ARG"),"Finalist","Non-finalist")</f>
        <v>Non-finalist</v>
      </c>
    </row>
    <row r="105" customFormat="false" ht="15" hidden="false" customHeight="false" outlineLevel="0" collapsed="false">
      <c r="A105" s="7" t="s">
        <v>138</v>
      </c>
      <c r="B105" s="7" t="s">
        <v>132</v>
      </c>
      <c r="C105" s="7" t="s">
        <v>26</v>
      </c>
      <c r="D105" s="7" t="n">
        <v>111</v>
      </c>
      <c r="E105" s="7" t="n">
        <v>86</v>
      </c>
      <c r="F105" s="7" t="n">
        <f aca="false">ROUND(D105*E105/100,0)</f>
        <v>95</v>
      </c>
      <c r="G105" s="7" t="str">
        <f aca="false">IF(OR(B105="ESP",B105="ARG"),"Finalist","Non-finalist")</f>
        <v>Non-finalist</v>
      </c>
    </row>
    <row r="106" customFormat="false" ht="15" hidden="false" customHeight="false" outlineLevel="0" collapsed="false">
      <c r="A106" s="7" t="s">
        <v>139</v>
      </c>
      <c r="B106" s="7" t="s">
        <v>132</v>
      </c>
      <c r="C106" s="7" t="s">
        <v>24</v>
      </c>
      <c r="D106" s="7" t="n">
        <v>93</v>
      </c>
      <c r="E106" s="7" t="n">
        <v>85</v>
      </c>
      <c r="F106" s="7" t="n">
        <f aca="false">ROUND(D106*E106/100,0)</f>
        <v>79</v>
      </c>
      <c r="G106" s="7" t="str">
        <f aca="false">IF(OR(B106="ESP",B106="ARG"),"Finalist","Non-finalist")</f>
        <v>Non-finalist</v>
      </c>
    </row>
    <row r="107" customFormat="false" ht="15" hidden="false" customHeight="false" outlineLevel="0" collapsed="false">
      <c r="A107" s="7" t="s">
        <v>140</v>
      </c>
      <c r="B107" s="7" t="s">
        <v>132</v>
      </c>
      <c r="C107" s="7" t="s">
        <v>26</v>
      </c>
      <c r="D107" s="7" t="n">
        <v>202</v>
      </c>
      <c r="E107" s="7" t="n">
        <v>83</v>
      </c>
      <c r="F107" s="7" t="n">
        <f aca="false">ROUND(D107*E107/100,0)</f>
        <v>168</v>
      </c>
      <c r="G107" s="7" t="str">
        <f aca="false">IF(OR(B107="ESP",B107="ARG"),"Finalist","Non-finalist")</f>
        <v>Non-finalist</v>
      </c>
    </row>
    <row r="108" customFormat="false" ht="15" hidden="false" customHeight="false" outlineLevel="0" collapsed="false">
      <c r="A108" s="7" t="s">
        <v>141</v>
      </c>
      <c r="B108" s="7" t="s">
        <v>132</v>
      </c>
      <c r="C108" s="7" t="s">
        <v>24</v>
      </c>
      <c r="D108" s="7" t="n">
        <v>281</v>
      </c>
      <c r="E108" s="7" t="n">
        <v>87</v>
      </c>
      <c r="F108" s="7" t="n">
        <f aca="false">ROUND(D108*E108/100,0)</f>
        <v>244</v>
      </c>
      <c r="G108" s="7" t="str">
        <f aca="false">IF(OR(B108="ESP",B108="ARG"),"Finalist","Non-finalist")</f>
        <v>Non-finalist</v>
      </c>
    </row>
    <row r="109" customFormat="false" ht="15" hidden="false" customHeight="false" outlineLevel="0" collapsed="false">
      <c r="A109" s="7" t="s">
        <v>142</v>
      </c>
      <c r="B109" s="7" t="s">
        <v>132</v>
      </c>
      <c r="C109" s="7" t="s">
        <v>34</v>
      </c>
      <c r="D109" s="7" t="n">
        <v>95</v>
      </c>
      <c r="E109" s="7" t="n">
        <v>80</v>
      </c>
      <c r="F109" s="7" t="n">
        <f aca="false">ROUND(D109*E109/100,0)</f>
        <v>76</v>
      </c>
      <c r="G109" s="7" t="str">
        <f aca="false">IF(OR(B109="ESP",B109="ARG"),"Finalist","Non-finalist")</f>
        <v>Non-finalist</v>
      </c>
    </row>
    <row r="110" customFormat="false" ht="15" hidden="false" customHeight="false" outlineLevel="0" collapsed="false">
      <c r="A110" s="7" t="s">
        <v>143</v>
      </c>
      <c r="B110" s="7" t="s">
        <v>144</v>
      </c>
      <c r="C110" s="7" t="s">
        <v>24</v>
      </c>
      <c r="D110" s="7" t="n">
        <v>125</v>
      </c>
      <c r="E110" s="7" t="n">
        <v>92</v>
      </c>
      <c r="F110" s="7" t="n">
        <f aca="false">ROUND(D110*E110/100,0)</f>
        <v>115</v>
      </c>
      <c r="G110" s="7" t="str">
        <f aca="false">IF(OR(B110="ESP",B110="ARG"),"Finalist","Non-finalist")</f>
        <v>Non-finalist</v>
      </c>
    </row>
    <row r="111" customFormat="false" ht="15" hidden="false" customHeight="false" outlineLevel="0" collapsed="false">
      <c r="A111" s="7" t="s">
        <v>145</v>
      </c>
      <c r="B111" s="7" t="s">
        <v>144</v>
      </c>
      <c r="C111" s="7" t="s">
        <v>26</v>
      </c>
      <c r="D111" s="7" t="n">
        <v>154</v>
      </c>
      <c r="E111" s="7" t="n">
        <v>92</v>
      </c>
      <c r="F111" s="7" t="n">
        <f aca="false">ROUND(D111*E111/100,0)</f>
        <v>142</v>
      </c>
      <c r="G111" s="7" t="str">
        <f aca="false">IF(OR(B111="ESP",B111="ARG"),"Finalist","Non-finalist")</f>
        <v>Non-finalist</v>
      </c>
    </row>
    <row r="112" customFormat="false" ht="15" hidden="false" customHeight="false" outlineLevel="0" collapsed="false">
      <c r="A112" s="7" t="s">
        <v>146</v>
      </c>
      <c r="B112" s="7" t="s">
        <v>144</v>
      </c>
      <c r="C112" s="7" t="s">
        <v>24</v>
      </c>
      <c r="D112" s="7" t="n">
        <v>188</v>
      </c>
      <c r="E112" s="7" t="n">
        <v>88</v>
      </c>
      <c r="F112" s="7" t="n">
        <f aca="false">ROUND(D112*E112/100,0)</f>
        <v>165</v>
      </c>
      <c r="G112" s="7" t="str">
        <f aca="false">IF(OR(B112="ESP",B112="ARG"),"Finalist","Non-finalist")</f>
        <v>Non-finalist</v>
      </c>
    </row>
    <row r="113" customFormat="false" ht="15" hidden="false" customHeight="false" outlineLevel="0" collapsed="false">
      <c r="A113" s="7" t="s">
        <v>147</v>
      </c>
      <c r="B113" s="7" t="s">
        <v>144</v>
      </c>
      <c r="C113" s="7" t="s">
        <v>26</v>
      </c>
      <c r="D113" s="7" t="n">
        <v>149</v>
      </c>
      <c r="E113" s="7" t="n">
        <v>83</v>
      </c>
      <c r="F113" s="7" t="n">
        <f aca="false">ROUND(D113*E113/100,0)</f>
        <v>124</v>
      </c>
      <c r="G113" s="7" t="str">
        <f aca="false">IF(OR(B113="ESP",B113="ARG"),"Finalist","Non-finalist")</f>
        <v>Non-finalist</v>
      </c>
    </row>
    <row r="114" customFormat="false" ht="15" hidden="false" customHeight="false" outlineLevel="0" collapsed="false">
      <c r="A114" s="7" t="s">
        <v>148</v>
      </c>
      <c r="B114" s="7" t="s">
        <v>144</v>
      </c>
      <c r="C114" s="7" t="s">
        <v>26</v>
      </c>
      <c r="D114" s="7" t="n">
        <v>163</v>
      </c>
      <c r="E114" s="7" t="n">
        <v>88</v>
      </c>
      <c r="F114" s="7" t="n">
        <f aca="false">ROUND(D114*E114/100,0)</f>
        <v>143</v>
      </c>
      <c r="G114" s="7" t="str">
        <f aca="false">IF(OR(B114="ESP",B114="ARG"),"Finalist","Non-finalist")</f>
        <v>Non-finalist</v>
      </c>
    </row>
    <row r="115" customFormat="false" ht="15" hidden="false" customHeight="false" outlineLevel="0" collapsed="false">
      <c r="A115" s="7" t="s">
        <v>149</v>
      </c>
      <c r="B115" s="7" t="s">
        <v>144</v>
      </c>
      <c r="C115" s="7" t="s">
        <v>24</v>
      </c>
      <c r="D115" s="7" t="n">
        <v>190</v>
      </c>
      <c r="E115" s="7" t="n">
        <v>91</v>
      </c>
      <c r="F115" s="7" t="n">
        <f aca="false">ROUND(D115*E115/100,0)</f>
        <v>173</v>
      </c>
      <c r="G115" s="7" t="str">
        <f aca="false">IF(OR(B115="ESP",B115="ARG"),"Finalist","Non-finalist")</f>
        <v>Non-finalist</v>
      </c>
    </row>
    <row r="116" customFormat="false" ht="15" hidden="false" customHeight="false" outlineLevel="0" collapsed="false">
      <c r="A116" s="7" t="s">
        <v>150</v>
      </c>
      <c r="B116" s="7" t="s">
        <v>144</v>
      </c>
      <c r="C116" s="7" t="s">
        <v>34</v>
      </c>
      <c r="D116" s="7" t="n">
        <v>109</v>
      </c>
      <c r="E116" s="7" t="n">
        <v>85</v>
      </c>
      <c r="F116" s="7" t="n">
        <f aca="false">ROUND(D116*E116/100,0)</f>
        <v>93</v>
      </c>
      <c r="G116" s="7" t="str">
        <f aca="false">IF(OR(B116="ESP",B116="ARG"),"Finalist","Non-finalist")</f>
        <v>Non-finalist</v>
      </c>
    </row>
    <row r="117" customFormat="false" ht="15" hidden="false" customHeight="false" outlineLevel="0" collapsed="false">
      <c r="A117" s="7" t="s">
        <v>151</v>
      </c>
      <c r="B117" s="7" t="s">
        <v>144</v>
      </c>
      <c r="C117" s="7" t="s">
        <v>26</v>
      </c>
      <c r="D117" s="7" t="n">
        <v>149</v>
      </c>
      <c r="E117" s="7" t="n">
        <v>95</v>
      </c>
      <c r="F117" s="7" t="n">
        <f aca="false">ROUND(D117*E117/100,0)</f>
        <v>142</v>
      </c>
      <c r="G117" s="7" t="str">
        <f aca="false">IF(OR(B117="ESP",B117="ARG"),"Finalist","Non-finalist")</f>
        <v>Non-finalist</v>
      </c>
    </row>
    <row r="118" customFormat="false" ht="15" hidden="false" customHeight="false" outlineLevel="0" collapsed="false">
      <c r="A118" s="7" t="s">
        <v>152</v>
      </c>
      <c r="B118" s="7" t="s">
        <v>144</v>
      </c>
      <c r="C118" s="7" t="s">
        <v>26</v>
      </c>
      <c r="D118" s="7" t="n">
        <v>92</v>
      </c>
      <c r="E118" s="7" t="n">
        <v>86</v>
      </c>
      <c r="F118" s="7" t="n">
        <f aca="false">ROUND(D118*E118/100,0)</f>
        <v>79</v>
      </c>
      <c r="G118" s="7" t="str">
        <f aca="false">IF(OR(B118="ESP",B118="ARG"),"Finalist","Non-finalist")</f>
        <v>Non-finalist</v>
      </c>
    </row>
    <row r="119" customFormat="false" ht="15" hidden="false" customHeight="false" outlineLevel="0" collapsed="false">
      <c r="A119" s="7" t="s">
        <v>153</v>
      </c>
      <c r="B119" s="7" t="s">
        <v>144</v>
      </c>
      <c r="C119" s="7" t="s">
        <v>28</v>
      </c>
      <c r="D119" s="7" t="n">
        <v>114</v>
      </c>
      <c r="E119" s="7" t="n">
        <v>65</v>
      </c>
      <c r="F119" s="7" t="n">
        <f aca="false">ROUND(D119*E119/100,0)</f>
        <v>74</v>
      </c>
      <c r="G119" s="7" t="str">
        <f aca="false">IF(OR(B119="ESP",B119="ARG"),"Finalist","Non-finalist")</f>
        <v>Non-finalist</v>
      </c>
    </row>
    <row r="120" customFormat="false" ht="15" hidden="false" customHeight="false" outlineLevel="0" collapsed="false">
      <c r="A120" s="7" t="s">
        <v>154</v>
      </c>
      <c r="B120" s="7" t="s">
        <v>144</v>
      </c>
      <c r="C120" s="7" t="s">
        <v>34</v>
      </c>
      <c r="D120" s="7" t="n">
        <v>142</v>
      </c>
      <c r="E120" s="7" t="n">
        <v>89</v>
      </c>
      <c r="F120" s="7" t="n">
        <f aca="false">ROUND(D120*E120/100,0)</f>
        <v>126</v>
      </c>
      <c r="G120" s="7" t="str">
        <f aca="false">IF(OR(B120="ESP",B120="ARG"),"Finalist","Non-finalist")</f>
        <v>Non-finalist</v>
      </c>
    </row>
    <row r="121" customFormat="false" ht="15" hidden="false" customHeight="false" outlineLevel="0" collapsed="false">
      <c r="A121" s="7" t="s">
        <v>155</v>
      </c>
      <c r="B121" s="7" t="s">
        <v>156</v>
      </c>
      <c r="C121" s="7" t="s">
        <v>26</v>
      </c>
      <c r="D121" s="7" t="n">
        <v>137</v>
      </c>
      <c r="E121" s="7" t="n">
        <v>80</v>
      </c>
      <c r="F121" s="7" t="n">
        <f aca="false">ROUND(D121*E121/100,0)</f>
        <v>110</v>
      </c>
      <c r="G121" s="7" t="str">
        <f aca="false">IF(OR(B121="ESP",B121="ARG"),"Finalist","Non-finalist")</f>
        <v>Non-finalist</v>
      </c>
    </row>
    <row r="122" customFormat="false" ht="15" hidden="false" customHeight="false" outlineLevel="0" collapsed="false">
      <c r="A122" s="7" t="s">
        <v>157</v>
      </c>
      <c r="B122" s="7" t="s">
        <v>156</v>
      </c>
      <c r="C122" s="7" t="s">
        <v>26</v>
      </c>
      <c r="D122" s="7" t="n">
        <v>169</v>
      </c>
      <c r="E122" s="7" t="n">
        <v>83</v>
      </c>
      <c r="F122" s="7" t="n">
        <f aca="false">ROUND(D122*E122/100,0)</f>
        <v>140</v>
      </c>
      <c r="G122" s="7" t="str">
        <f aca="false">IF(OR(B122="ESP",B122="ARG"),"Finalist","Non-finalist")</f>
        <v>Non-finalist</v>
      </c>
    </row>
    <row r="123" customFormat="false" ht="15" hidden="false" customHeight="false" outlineLevel="0" collapsed="false">
      <c r="A123" s="7" t="s">
        <v>158</v>
      </c>
      <c r="B123" s="7" t="s">
        <v>156</v>
      </c>
      <c r="C123" s="7" t="s">
        <v>26</v>
      </c>
      <c r="D123" s="7" t="n">
        <v>155</v>
      </c>
      <c r="E123" s="7" t="n">
        <v>90</v>
      </c>
      <c r="F123" s="7" t="n">
        <f aca="false">ROUND(D123*E123/100,0)</f>
        <v>140</v>
      </c>
      <c r="G123" s="7" t="str">
        <f aca="false">IF(OR(B123="ESP",B123="ARG"),"Finalist","Non-finalist")</f>
        <v>Non-finalist</v>
      </c>
    </row>
    <row r="124" customFormat="false" ht="15" hidden="false" customHeight="false" outlineLevel="0" collapsed="false">
      <c r="A124" s="7" t="s">
        <v>159</v>
      </c>
      <c r="B124" s="7" t="s">
        <v>156</v>
      </c>
      <c r="C124" s="7" t="s">
        <v>26</v>
      </c>
      <c r="D124" s="7" t="n">
        <v>162</v>
      </c>
      <c r="E124" s="7" t="n">
        <v>80</v>
      </c>
      <c r="F124" s="7" t="n">
        <f aca="false">ROUND(D124*E124/100,0)</f>
        <v>130</v>
      </c>
      <c r="G124" s="7" t="str">
        <f aca="false">IF(OR(B124="ESP",B124="ARG"),"Finalist","Non-finalist")</f>
        <v>Non-finalist</v>
      </c>
    </row>
    <row r="125" customFormat="false" ht="15" hidden="false" customHeight="false" outlineLevel="0" collapsed="false">
      <c r="A125" s="7" t="s">
        <v>160</v>
      </c>
      <c r="B125" s="7" t="s">
        <v>156</v>
      </c>
      <c r="C125" s="7" t="s">
        <v>28</v>
      </c>
      <c r="D125" s="7" t="n">
        <v>139</v>
      </c>
      <c r="E125" s="7" t="n">
        <v>68</v>
      </c>
      <c r="F125" s="7" t="n">
        <f aca="false">ROUND(D125*E125/100,0)</f>
        <v>95</v>
      </c>
      <c r="G125" s="7" t="str">
        <f aca="false">IF(OR(B125="ESP",B125="ARG"),"Finalist","Non-finalist")</f>
        <v>Non-finalist</v>
      </c>
    </row>
    <row r="126" customFormat="false" ht="15" hidden="false" customHeight="false" outlineLevel="0" collapsed="false">
      <c r="A126" s="7" t="s">
        <v>161</v>
      </c>
      <c r="B126" s="7" t="s">
        <v>156</v>
      </c>
      <c r="C126" s="7" t="s">
        <v>24</v>
      </c>
      <c r="D126" s="7" t="n">
        <v>116</v>
      </c>
      <c r="E126" s="7" t="n">
        <v>89</v>
      </c>
      <c r="F126" s="7" t="n">
        <f aca="false">ROUND(D126*E126/100,0)</f>
        <v>103</v>
      </c>
      <c r="G126" s="7" t="str">
        <f aca="false">IF(OR(B126="ESP",B126="ARG"),"Finalist","Non-finalist")</f>
        <v>Non-finalist</v>
      </c>
    </row>
    <row r="127" customFormat="false" ht="15" hidden="false" customHeight="false" outlineLevel="0" collapsed="false">
      <c r="A127" s="7" t="s">
        <v>162</v>
      </c>
      <c r="B127" s="7" t="s">
        <v>156</v>
      </c>
      <c r="C127" s="7" t="s">
        <v>24</v>
      </c>
      <c r="D127" s="7" t="n">
        <v>147</v>
      </c>
      <c r="E127" s="7" t="n">
        <v>83</v>
      </c>
      <c r="F127" s="7" t="n">
        <f aca="false">ROUND(D127*E127/100,0)</f>
        <v>122</v>
      </c>
      <c r="G127" s="7" t="str">
        <f aca="false">IF(OR(B127="ESP",B127="ARG"),"Finalist","Non-finalist")</f>
        <v>Non-finalist</v>
      </c>
    </row>
    <row r="128" customFormat="false" ht="15" hidden="false" customHeight="false" outlineLevel="0" collapsed="false">
      <c r="A128" s="7" t="s">
        <v>163</v>
      </c>
      <c r="B128" s="7" t="s">
        <v>164</v>
      </c>
      <c r="C128" s="7" t="s">
        <v>28</v>
      </c>
      <c r="D128" s="7" t="n">
        <v>202</v>
      </c>
      <c r="E128" s="7" t="n">
        <v>78</v>
      </c>
      <c r="F128" s="7" t="n">
        <f aca="false">ROUND(D128*E128/100,0)</f>
        <v>158</v>
      </c>
      <c r="G128" s="7" t="str">
        <f aca="false">IF(OR(B128="ESP",B128="ARG"),"Finalist","Non-finalist")</f>
        <v>Non-finalist</v>
      </c>
    </row>
    <row r="129" customFormat="false" ht="15" hidden="false" customHeight="false" outlineLevel="0" collapsed="false">
      <c r="A129" s="7" t="s">
        <v>165</v>
      </c>
      <c r="B129" s="7" t="s">
        <v>164</v>
      </c>
      <c r="C129" s="7" t="s">
        <v>26</v>
      </c>
      <c r="D129" s="7" t="n">
        <v>213</v>
      </c>
      <c r="E129" s="7" t="n">
        <v>91</v>
      </c>
      <c r="F129" s="7" t="n">
        <f aca="false">ROUND(D129*E129/100,0)</f>
        <v>194</v>
      </c>
      <c r="G129" s="7" t="str">
        <f aca="false">IF(OR(B129="ESP",B129="ARG"),"Finalist","Non-finalist")</f>
        <v>Non-finalist</v>
      </c>
    </row>
    <row r="130" customFormat="false" ht="15" hidden="false" customHeight="false" outlineLevel="0" collapsed="false">
      <c r="A130" s="7" t="s">
        <v>166</v>
      </c>
      <c r="B130" s="7" t="s">
        <v>164</v>
      </c>
      <c r="C130" s="7" t="s">
        <v>26</v>
      </c>
      <c r="D130" s="7" t="n">
        <v>361</v>
      </c>
      <c r="E130" s="7" t="n">
        <v>90</v>
      </c>
      <c r="F130" s="7" t="n">
        <f aca="false">ROUND(D130*E130/100,0)</f>
        <v>325</v>
      </c>
      <c r="G130" s="7" t="str">
        <f aca="false">IF(OR(B130="ESP",B130="ARG"),"Finalist","Non-finalist")</f>
        <v>Non-finalist</v>
      </c>
    </row>
    <row r="131" customFormat="false" ht="15" hidden="false" customHeight="false" outlineLevel="0" collapsed="false">
      <c r="A131" s="7" t="s">
        <v>167</v>
      </c>
      <c r="B131" s="7" t="s">
        <v>164</v>
      </c>
      <c r="C131" s="7" t="s">
        <v>26</v>
      </c>
      <c r="D131" s="7" t="n">
        <v>290</v>
      </c>
      <c r="E131" s="7" t="n">
        <v>91</v>
      </c>
      <c r="F131" s="7" t="n">
        <f aca="false">ROUND(D131*E131/100,0)</f>
        <v>264</v>
      </c>
      <c r="G131" s="7" t="str">
        <f aca="false">IF(OR(B131="ESP",B131="ARG"),"Finalist","Non-finalist")</f>
        <v>Non-finalist</v>
      </c>
    </row>
    <row r="132" customFormat="false" ht="15" hidden="false" customHeight="false" outlineLevel="0" collapsed="false">
      <c r="A132" s="7" t="s">
        <v>168</v>
      </c>
      <c r="B132" s="7" t="s">
        <v>164</v>
      </c>
      <c r="C132" s="7" t="s">
        <v>24</v>
      </c>
      <c r="D132" s="7" t="n">
        <v>237</v>
      </c>
      <c r="E132" s="7" t="n">
        <v>84</v>
      </c>
      <c r="F132" s="7" t="n">
        <f aca="false">ROUND(D132*E132/100,0)</f>
        <v>199</v>
      </c>
      <c r="G132" s="7" t="str">
        <f aca="false">IF(OR(B132="ESP",B132="ARG"),"Finalist","Non-finalist")</f>
        <v>Non-finalist</v>
      </c>
    </row>
    <row r="133" customFormat="false" ht="15" hidden="false" customHeight="false" outlineLevel="0" collapsed="false">
      <c r="A133" s="7" t="s">
        <v>169</v>
      </c>
      <c r="B133" s="7" t="s">
        <v>164</v>
      </c>
      <c r="C133" s="7" t="s">
        <v>24</v>
      </c>
      <c r="D133" s="7" t="n">
        <v>274</v>
      </c>
      <c r="E133" s="7" t="n">
        <v>88</v>
      </c>
      <c r="F133" s="7" t="n">
        <f aca="false">ROUND(D133*E133/100,0)</f>
        <v>241</v>
      </c>
      <c r="G133" s="7" t="str">
        <f aca="false">IF(OR(B133="ESP",B133="ARG"),"Finalist","Non-finalist")</f>
        <v>Non-finalist</v>
      </c>
    </row>
    <row r="134" customFormat="false" ht="15" hidden="false" customHeight="false" outlineLevel="0" collapsed="false">
      <c r="A134" s="7" t="s">
        <v>170</v>
      </c>
      <c r="B134" s="7" t="s">
        <v>164</v>
      </c>
      <c r="C134" s="7" t="s">
        <v>24</v>
      </c>
      <c r="D134" s="7" t="n">
        <v>240</v>
      </c>
      <c r="E134" s="7" t="n">
        <v>95</v>
      </c>
      <c r="F134" s="7" t="n">
        <f aca="false">ROUND(D134*E134/100,0)</f>
        <v>228</v>
      </c>
      <c r="G134" s="7" t="str">
        <f aca="false">IF(OR(B134="ESP",B134="ARG"),"Finalist","Non-finalist")</f>
        <v>Non-finalist</v>
      </c>
    </row>
    <row r="135" customFormat="false" ht="15" hidden="false" customHeight="false" outlineLevel="0" collapsed="false">
      <c r="A135" s="7" t="s">
        <v>171</v>
      </c>
      <c r="B135" s="7" t="s">
        <v>164</v>
      </c>
      <c r="C135" s="7" t="s">
        <v>26</v>
      </c>
      <c r="D135" s="7" t="n">
        <v>285</v>
      </c>
      <c r="E135" s="7" t="n">
        <v>92</v>
      </c>
      <c r="F135" s="7" t="n">
        <f aca="false">ROUND(D135*E135/100,0)</f>
        <v>262</v>
      </c>
      <c r="G135" s="7" t="str">
        <f aca="false">IF(OR(B135="ESP",B135="ARG"),"Finalist","Non-finalist")</f>
        <v>Non-finalist</v>
      </c>
    </row>
    <row r="136" customFormat="false" ht="15" hidden="false" customHeight="false" outlineLevel="0" collapsed="false">
      <c r="A136" s="7" t="s">
        <v>172</v>
      </c>
      <c r="B136" s="7" t="s">
        <v>164</v>
      </c>
      <c r="C136" s="7" t="s">
        <v>26</v>
      </c>
      <c r="D136" s="7" t="n">
        <v>202</v>
      </c>
      <c r="E136" s="7" t="n">
        <v>80</v>
      </c>
      <c r="F136" s="7" t="n">
        <f aca="false">ROUND(D136*E136/100,0)</f>
        <v>162</v>
      </c>
      <c r="G136" s="7" t="str">
        <f aca="false">IF(OR(B136="ESP",B136="ARG"),"Finalist","Non-finalist")</f>
        <v>Non-finalist</v>
      </c>
    </row>
    <row r="137" customFormat="false" ht="15" hidden="false" customHeight="false" outlineLevel="0" collapsed="false">
      <c r="A137" s="7" t="s">
        <v>173</v>
      </c>
      <c r="B137" s="7" t="s">
        <v>164</v>
      </c>
      <c r="C137" s="7" t="s">
        <v>24</v>
      </c>
      <c r="D137" s="7" t="n">
        <v>89</v>
      </c>
      <c r="E137" s="7" t="n">
        <v>83</v>
      </c>
      <c r="F137" s="7" t="n">
        <f aca="false">ROUND(D137*E137/100,0)</f>
        <v>74</v>
      </c>
      <c r="G137" s="7" t="str">
        <f aca="false">IF(OR(B137="ESP",B137="ARG"),"Finalist","Non-finalist")</f>
        <v>Non-finalist</v>
      </c>
    </row>
    <row r="138" customFormat="false" ht="15" hidden="false" customHeight="false" outlineLevel="0" collapsed="false">
      <c r="A138" s="7" t="s">
        <v>174</v>
      </c>
      <c r="B138" s="7" t="s">
        <v>164</v>
      </c>
      <c r="C138" s="7" t="s">
        <v>34</v>
      </c>
      <c r="D138" s="7" t="n">
        <v>166</v>
      </c>
      <c r="E138" s="7" t="n">
        <v>87</v>
      </c>
      <c r="F138" s="7" t="n">
        <f aca="false">ROUND(D138*E138/100,0)</f>
        <v>144</v>
      </c>
      <c r="G138" s="7" t="str">
        <f aca="false">IF(OR(B138="ESP",B138="ARG"),"Finalist","Non-finalist")</f>
        <v>Non-finalist</v>
      </c>
    </row>
    <row r="139" customFormat="false" ht="15" hidden="false" customHeight="false" outlineLevel="0" collapsed="false">
      <c r="A139" s="7" t="s">
        <v>175</v>
      </c>
      <c r="B139" s="7" t="s">
        <v>176</v>
      </c>
      <c r="C139" s="7" t="s">
        <v>24</v>
      </c>
      <c r="D139" s="7" t="n">
        <v>101</v>
      </c>
      <c r="E139" s="7" t="n">
        <v>86</v>
      </c>
      <c r="F139" s="7" t="n">
        <f aca="false">ROUND(D139*E139/100,0)</f>
        <v>87</v>
      </c>
      <c r="G139" s="7" t="str">
        <f aca="false">IF(OR(B139="ESP",B139="ARG"),"Finalist","Non-finalist")</f>
        <v>Non-finalist</v>
      </c>
    </row>
    <row r="140" customFormat="false" ht="15" hidden="false" customHeight="false" outlineLevel="0" collapsed="false">
      <c r="A140" s="7" t="s">
        <v>177</v>
      </c>
      <c r="B140" s="7" t="s">
        <v>176</v>
      </c>
      <c r="C140" s="7" t="s">
        <v>26</v>
      </c>
      <c r="D140" s="7" t="n">
        <v>195</v>
      </c>
      <c r="E140" s="7" t="n">
        <v>81</v>
      </c>
      <c r="F140" s="7" t="n">
        <f aca="false">ROUND(D140*E140/100,0)</f>
        <v>158</v>
      </c>
      <c r="G140" s="7" t="str">
        <f aca="false">IF(OR(B140="ESP",B140="ARG"),"Finalist","Non-finalist")</f>
        <v>Non-finalist</v>
      </c>
    </row>
    <row r="141" customFormat="false" ht="15" hidden="false" customHeight="false" outlineLevel="0" collapsed="false">
      <c r="A141" s="7" t="s">
        <v>178</v>
      </c>
      <c r="B141" s="7" t="s">
        <v>176</v>
      </c>
      <c r="C141" s="7" t="s">
        <v>24</v>
      </c>
      <c r="D141" s="7" t="n">
        <v>106</v>
      </c>
      <c r="E141" s="7" t="n">
        <v>82</v>
      </c>
      <c r="F141" s="7" t="n">
        <f aca="false">ROUND(D141*E141/100,0)</f>
        <v>87</v>
      </c>
      <c r="G141" s="7" t="str">
        <f aca="false">IF(OR(B141="ESP",B141="ARG"),"Finalist","Non-finalist")</f>
        <v>Non-finalist</v>
      </c>
    </row>
    <row r="142" customFormat="false" ht="15" hidden="false" customHeight="false" outlineLevel="0" collapsed="false">
      <c r="A142" s="7" t="s">
        <v>179</v>
      </c>
      <c r="B142" s="7" t="s">
        <v>176</v>
      </c>
      <c r="C142" s="7" t="s">
        <v>24</v>
      </c>
      <c r="D142" s="7" t="n">
        <v>156</v>
      </c>
      <c r="E142" s="7" t="n">
        <v>86</v>
      </c>
      <c r="F142" s="7" t="n">
        <f aca="false">ROUND(D142*E142/100,0)</f>
        <v>134</v>
      </c>
      <c r="G142" s="7" t="str">
        <f aca="false">IF(OR(B142="ESP",B142="ARG"),"Finalist","Non-finalist")</f>
        <v>Non-finalist</v>
      </c>
    </row>
    <row r="143" customFormat="false" ht="15" hidden="false" customHeight="false" outlineLevel="0" collapsed="false">
      <c r="A143" s="7" t="s">
        <v>180</v>
      </c>
      <c r="B143" s="7" t="s">
        <v>176</v>
      </c>
      <c r="C143" s="7" t="s">
        <v>26</v>
      </c>
      <c r="D143" s="7" t="n">
        <v>182</v>
      </c>
      <c r="E143" s="7" t="n">
        <v>84</v>
      </c>
      <c r="F143" s="7" t="n">
        <f aca="false">ROUND(D143*E143/100,0)</f>
        <v>153</v>
      </c>
      <c r="G143" s="7" t="str">
        <f aca="false">IF(OR(B143="ESP",B143="ARG"),"Finalist","Non-finalist")</f>
        <v>Non-finalist</v>
      </c>
    </row>
    <row r="144" customFormat="false" ht="15" hidden="false" customHeight="false" outlineLevel="0" collapsed="false">
      <c r="A144" s="7" t="s">
        <v>181</v>
      </c>
      <c r="B144" s="7" t="s">
        <v>176</v>
      </c>
      <c r="C144" s="7" t="s">
        <v>26</v>
      </c>
      <c r="D144" s="7" t="n">
        <v>105</v>
      </c>
      <c r="E144" s="7" t="n">
        <v>83</v>
      </c>
      <c r="F144" s="7" t="n">
        <f aca="false">ROUND(D144*E144/100,0)</f>
        <v>87</v>
      </c>
      <c r="G144" s="7" t="str">
        <f aca="false">IF(OR(B144="ESP",B144="ARG"),"Finalist","Non-finalist")</f>
        <v>Non-finalist</v>
      </c>
    </row>
    <row r="145" customFormat="false" ht="15" hidden="false" customHeight="false" outlineLevel="0" collapsed="false">
      <c r="A145" s="7" t="s">
        <v>182</v>
      </c>
      <c r="B145" s="7" t="s">
        <v>176</v>
      </c>
      <c r="C145" s="7" t="s">
        <v>26</v>
      </c>
      <c r="D145" s="7" t="n">
        <v>109</v>
      </c>
      <c r="E145" s="7" t="n">
        <v>81</v>
      </c>
      <c r="F145" s="7" t="n">
        <f aca="false">ROUND(D145*E145/100,0)</f>
        <v>88</v>
      </c>
      <c r="G145" s="7" t="str">
        <f aca="false">IF(OR(B145="ESP",B145="ARG"),"Finalist","Non-finalist")</f>
        <v>Non-finalist</v>
      </c>
    </row>
    <row r="146" customFormat="false" ht="15" hidden="false" customHeight="false" outlineLevel="0" collapsed="false">
      <c r="A146" s="7" t="s">
        <v>183</v>
      </c>
      <c r="B146" s="7" t="s">
        <v>176</v>
      </c>
      <c r="C146" s="7" t="s">
        <v>28</v>
      </c>
      <c r="D146" s="7" t="n">
        <v>166</v>
      </c>
      <c r="E146" s="7" t="n">
        <v>70</v>
      </c>
      <c r="F146" s="7" t="n">
        <f aca="false">ROUND(D146*E146/100,0)</f>
        <v>116</v>
      </c>
      <c r="G146" s="7" t="str">
        <f aca="false">IF(OR(B146="ESP",B146="ARG"),"Finalist","Non-finalist")</f>
        <v>Non-finalist</v>
      </c>
    </row>
    <row r="147" customFormat="false" ht="15" hidden="false" customHeight="false" outlineLevel="0" collapsed="false">
      <c r="A147" s="7" t="s">
        <v>184</v>
      </c>
      <c r="B147" s="7" t="s">
        <v>185</v>
      </c>
      <c r="C147" s="7" t="s">
        <v>28</v>
      </c>
      <c r="D147" s="7" t="n">
        <v>129</v>
      </c>
      <c r="E147" s="7" t="n">
        <v>74</v>
      </c>
      <c r="F147" s="7" t="n">
        <f aca="false">ROUND(D147*E147/100,0)</f>
        <v>95</v>
      </c>
      <c r="G147" s="7" t="str">
        <f aca="false">IF(OR(B147="ESP",B147="ARG"),"Finalist","Non-finalist")</f>
        <v>Non-finalist</v>
      </c>
    </row>
    <row r="148" customFormat="false" ht="15" hidden="false" customHeight="false" outlineLevel="0" collapsed="false">
      <c r="A148" s="7" t="s">
        <v>186</v>
      </c>
      <c r="B148" s="7" t="s">
        <v>185</v>
      </c>
      <c r="C148" s="7" t="s">
        <v>34</v>
      </c>
      <c r="D148" s="7" t="n">
        <v>150</v>
      </c>
      <c r="E148" s="7" t="n">
        <v>88</v>
      </c>
      <c r="F148" s="7" t="n">
        <f aca="false">ROUND(D148*E148/100,0)</f>
        <v>132</v>
      </c>
      <c r="G148" s="7" t="str">
        <f aca="false">IF(OR(B148="ESP",B148="ARG"),"Finalist","Non-finalist")</f>
        <v>Non-finalist</v>
      </c>
    </row>
    <row r="149" customFormat="false" ht="15" hidden="false" customHeight="false" outlineLevel="0" collapsed="false">
      <c r="A149" s="7" t="s">
        <v>187</v>
      </c>
      <c r="B149" s="7" t="s">
        <v>185</v>
      </c>
      <c r="C149" s="7" t="s">
        <v>26</v>
      </c>
      <c r="D149" s="7" t="n">
        <v>162</v>
      </c>
      <c r="E149" s="7" t="n">
        <v>86</v>
      </c>
      <c r="F149" s="7" t="n">
        <f aca="false">ROUND(D149*E149/100,0)</f>
        <v>139</v>
      </c>
      <c r="G149" s="7" t="str">
        <f aca="false">IF(OR(B149="ESP",B149="ARG"),"Finalist","Non-finalist")</f>
        <v>Non-finalist</v>
      </c>
    </row>
    <row r="150" customFormat="false" ht="15" hidden="false" customHeight="false" outlineLevel="0" collapsed="false">
      <c r="A150" s="7" t="s">
        <v>188</v>
      </c>
      <c r="B150" s="7" t="s">
        <v>185</v>
      </c>
      <c r="C150" s="7" t="s">
        <v>26</v>
      </c>
      <c r="D150" s="7" t="n">
        <v>267</v>
      </c>
      <c r="E150" s="7" t="n">
        <v>90</v>
      </c>
      <c r="F150" s="7" t="n">
        <f aca="false">ROUND(D150*E150/100,0)</f>
        <v>240</v>
      </c>
      <c r="G150" s="7" t="str">
        <f aca="false">IF(OR(B150="ESP",B150="ARG"),"Finalist","Non-finalist")</f>
        <v>Non-finalist</v>
      </c>
    </row>
    <row r="151" customFormat="false" ht="15" hidden="false" customHeight="false" outlineLevel="0" collapsed="false">
      <c r="A151" s="7" t="s">
        <v>189</v>
      </c>
      <c r="B151" s="7" t="s">
        <v>185</v>
      </c>
      <c r="C151" s="7" t="s">
        <v>26</v>
      </c>
      <c r="D151" s="7" t="n">
        <v>89</v>
      </c>
      <c r="E151" s="7" t="n">
        <v>87</v>
      </c>
      <c r="F151" s="7" t="n">
        <f aca="false">ROUND(D151*E151/100,0)</f>
        <v>77</v>
      </c>
      <c r="G151" s="7" t="str">
        <f aca="false">IF(OR(B151="ESP",B151="ARG"),"Finalist","Non-finalist")</f>
        <v>Non-finalist</v>
      </c>
    </row>
    <row r="152" customFormat="false" ht="15" hidden="false" customHeight="false" outlineLevel="0" collapsed="false">
      <c r="A152" s="7" t="s">
        <v>190</v>
      </c>
      <c r="B152" s="7" t="s">
        <v>185</v>
      </c>
      <c r="C152" s="7" t="s">
        <v>24</v>
      </c>
      <c r="D152" s="7" t="n">
        <v>248</v>
      </c>
      <c r="E152" s="7" t="n">
        <v>91</v>
      </c>
      <c r="F152" s="7" t="n">
        <f aca="false">ROUND(D152*E152/100,0)</f>
        <v>226</v>
      </c>
      <c r="G152" s="7" t="str">
        <f aca="false">IF(OR(B152="ESP",B152="ARG"),"Finalist","Non-finalist")</f>
        <v>Non-finalist</v>
      </c>
    </row>
    <row r="153" customFormat="false" ht="15" hidden="false" customHeight="false" outlineLevel="0" collapsed="false">
      <c r="A153" s="7" t="s">
        <v>191</v>
      </c>
      <c r="B153" s="7" t="s">
        <v>185</v>
      </c>
      <c r="C153" s="7" t="s">
        <v>26</v>
      </c>
      <c r="D153" s="7" t="n">
        <v>200</v>
      </c>
      <c r="E153" s="7" t="n">
        <v>91</v>
      </c>
      <c r="F153" s="7" t="n">
        <f aca="false">ROUND(D153*E153/100,0)</f>
        <v>182</v>
      </c>
      <c r="G153" s="7" t="str">
        <f aca="false">IF(OR(B153="ESP",B153="ARG"),"Finalist","Non-finalist")</f>
        <v>Non-finalist</v>
      </c>
    </row>
    <row r="154" customFormat="false" ht="15" hidden="false" customHeight="false" outlineLevel="0" collapsed="false">
      <c r="A154" s="7" t="s">
        <v>192</v>
      </c>
      <c r="B154" s="7" t="s">
        <v>185</v>
      </c>
      <c r="C154" s="7" t="s">
        <v>24</v>
      </c>
      <c r="D154" s="7" t="n">
        <v>93</v>
      </c>
      <c r="E154" s="7" t="n">
        <v>86</v>
      </c>
      <c r="F154" s="7" t="n">
        <f aca="false">ROUND(D154*E154/100,0)</f>
        <v>80</v>
      </c>
      <c r="G154" s="7" t="str">
        <f aca="false">IF(OR(B154="ESP",B154="ARG"),"Finalist","Non-finalist")</f>
        <v>Non-finalist</v>
      </c>
    </row>
    <row r="155" customFormat="false" ht="15" hidden="false" customHeight="false" outlineLevel="0" collapsed="false">
      <c r="A155" s="7" t="s">
        <v>193</v>
      </c>
      <c r="B155" s="7" t="s">
        <v>185</v>
      </c>
      <c r="C155" s="7" t="s">
        <v>24</v>
      </c>
      <c r="D155" s="7" t="n">
        <v>208</v>
      </c>
      <c r="E155" s="7" t="n">
        <v>95</v>
      </c>
      <c r="F155" s="7" t="n">
        <f aca="false">ROUND(D155*E155/100,0)</f>
        <v>198</v>
      </c>
      <c r="G155" s="7" t="str">
        <f aca="false">IF(OR(B155="ESP",B155="ARG"),"Finalist","Non-finalist")</f>
        <v>Non-finalist</v>
      </c>
    </row>
    <row r="156" customFormat="false" ht="15" hidden="false" customHeight="false" outlineLevel="0" collapsed="false">
      <c r="A156" s="7" t="s">
        <v>194</v>
      </c>
      <c r="B156" s="7" t="s">
        <v>185</v>
      </c>
      <c r="C156" s="7" t="s">
        <v>24</v>
      </c>
      <c r="D156" s="7" t="n">
        <v>127</v>
      </c>
      <c r="E156" s="7" t="n">
        <v>87</v>
      </c>
      <c r="F156" s="7" t="n">
        <f aca="false">ROUND(D156*E156/100,0)</f>
        <v>110</v>
      </c>
      <c r="G156" s="7" t="str">
        <f aca="false">IF(OR(B156="ESP",B156="ARG"),"Finalist","Non-finalist")</f>
        <v>Non-finalist</v>
      </c>
    </row>
    <row r="157" customFormat="false" ht="15" hidden="false" customHeight="false" outlineLevel="0" collapsed="false">
      <c r="A157" s="7" t="s">
        <v>195</v>
      </c>
      <c r="B157" s="7" t="s">
        <v>196</v>
      </c>
      <c r="C157" s="7" t="s">
        <v>26</v>
      </c>
      <c r="D157" s="7" t="n">
        <v>97</v>
      </c>
      <c r="E157" s="7" t="n">
        <v>90</v>
      </c>
      <c r="F157" s="7" t="n">
        <f aca="false">ROUND(D157*E157/100,0)</f>
        <v>87</v>
      </c>
      <c r="G157" s="7" t="str">
        <f aca="false">IF(OR(B157="ESP",B157="ARG"),"Finalist","Non-finalist")</f>
        <v>Non-finalist</v>
      </c>
    </row>
    <row r="158" customFormat="false" ht="15" hidden="false" customHeight="false" outlineLevel="0" collapsed="false">
      <c r="A158" s="7" t="s">
        <v>197</v>
      </c>
      <c r="B158" s="7" t="s">
        <v>196</v>
      </c>
      <c r="C158" s="7" t="s">
        <v>28</v>
      </c>
      <c r="D158" s="7" t="n">
        <v>89</v>
      </c>
      <c r="E158" s="7" t="n">
        <v>54</v>
      </c>
      <c r="F158" s="7" t="n">
        <f aca="false">ROUND(D158*E158/100,0)</f>
        <v>48</v>
      </c>
      <c r="G158" s="7" t="str">
        <f aca="false">IF(OR(B158="ESP",B158="ARG"),"Finalist","Non-finalist")</f>
        <v>Non-finalist</v>
      </c>
    </row>
    <row r="159" customFormat="false" ht="15" hidden="false" customHeight="false" outlineLevel="0" collapsed="false">
      <c r="A159" s="7" t="s">
        <v>198</v>
      </c>
      <c r="B159" s="7" t="s">
        <v>196</v>
      </c>
      <c r="C159" s="7" t="s">
        <v>24</v>
      </c>
      <c r="D159" s="7" t="n">
        <v>125</v>
      </c>
      <c r="E159" s="7" t="n">
        <v>86</v>
      </c>
      <c r="F159" s="7" t="n">
        <f aca="false">ROUND(D159*E159/100,0)</f>
        <v>108</v>
      </c>
      <c r="G159" s="7" t="str">
        <f aca="false">IF(OR(B159="ESP",B159="ARG"),"Finalist","Non-finalist")</f>
        <v>Non-finalist</v>
      </c>
    </row>
    <row r="160" customFormat="false" ht="15" hidden="false" customHeight="false" outlineLevel="0" collapsed="false">
      <c r="A160" s="7" t="s">
        <v>199</v>
      </c>
      <c r="B160" s="7" t="s">
        <v>196</v>
      </c>
      <c r="C160" s="7" t="s">
        <v>26</v>
      </c>
      <c r="D160" s="7" t="n">
        <v>112</v>
      </c>
      <c r="E160" s="7" t="n">
        <v>85</v>
      </c>
      <c r="F160" s="7" t="n">
        <f aca="false">ROUND(D160*E160/100,0)</f>
        <v>95</v>
      </c>
      <c r="G160" s="7" t="str">
        <f aca="false">IF(OR(B160="ESP",B160="ARG"),"Finalist","Non-finalist")</f>
        <v>Non-finalist</v>
      </c>
    </row>
    <row r="161" customFormat="false" ht="15" hidden="false" customHeight="false" outlineLevel="0" collapsed="false">
      <c r="A161" s="7" t="s">
        <v>200</v>
      </c>
      <c r="B161" s="7" t="s">
        <v>201</v>
      </c>
      <c r="C161" s="7" t="s">
        <v>26</v>
      </c>
      <c r="D161" s="7" t="n">
        <v>160</v>
      </c>
      <c r="E161" s="7" t="n">
        <v>84</v>
      </c>
      <c r="F161" s="7" t="n">
        <f aca="false">ROUND(D161*E161/100,0)</f>
        <v>134</v>
      </c>
      <c r="G161" s="7" t="str">
        <f aca="false">IF(OR(B161="ESP",B161="ARG"),"Finalist","Non-finalist")</f>
        <v>Non-finalist</v>
      </c>
    </row>
    <row r="162" customFormat="false" ht="15" hidden="false" customHeight="false" outlineLevel="0" collapsed="false">
      <c r="A162" s="7" t="s">
        <v>202</v>
      </c>
      <c r="B162" s="7" t="s">
        <v>201</v>
      </c>
      <c r="C162" s="7" t="s">
        <v>28</v>
      </c>
      <c r="D162" s="7" t="n">
        <v>97</v>
      </c>
      <c r="E162" s="7" t="n">
        <v>64</v>
      </c>
      <c r="F162" s="7" t="n">
        <f aca="false">ROUND(D162*E162/100,0)</f>
        <v>62</v>
      </c>
      <c r="G162" s="7" t="str">
        <f aca="false">IF(OR(B162="ESP",B162="ARG"),"Finalist","Non-finalist")</f>
        <v>Non-finalist</v>
      </c>
    </row>
    <row r="163" customFormat="false" ht="15" hidden="false" customHeight="false" outlineLevel="0" collapsed="false">
      <c r="A163" s="7" t="s">
        <v>203</v>
      </c>
      <c r="B163" s="7" t="s">
        <v>201</v>
      </c>
      <c r="C163" s="7" t="s">
        <v>24</v>
      </c>
      <c r="D163" s="7" t="n">
        <v>84</v>
      </c>
      <c r="E163" s="7" t="n">
        <v>82</v>
      </c>
      <c r="F163" s="7" t="n">
        <f aca="false">ROUND(D163*E163/100,0)</f>
        <v>69</v>
      </c>
      <c r="G163" s="7" t="str">
        <f aca="false">IF(OR(B163="ESP",B163="ARG"),"Finalist","Non-finalist")</f>
        <v>Non-finalist</v>
      </c>
    </row>
    <row r="164" customFormat="false" ht="15" hidden="false" customHeight="false" outlineLevel="0" collapsed="false">
      <c r="A164" s="7" t="s">
        <v>204</v>
      </c>
      <c r="B164" s="7" t="s">
        <v>201</v>
      </c>
      <c r="C164" s="7" t="s">
        <v>26</v>
      </c>
      <c r="D164" s="7" t="n">
        <v>116</v>
      </c>
      <c r="E164" s="7" t="n">
        <v>90</v>
      </c>
      <c r="F164" s="7" t="n">
        <f aca="false">ROUND(D164*E164/100,0)</f>
        <v>104</v>
      </c>
      <c r="G164" s="7" t="str">
        <f aca="false">IF(OR(B164="ESP",B164="ARG"),"Finalist","Non-finalist")</f>
        <v>Non-finalist</v>
      </c>
    </row>
    <row r="165" customFormat="false" ht="15" hidden="false" customHeight="false" outlineLevel="0" collapsed="false">
      <c r="A165" s="7" t="s">
        <v>205</v>
      </c>
      <c r="B165" s="7" t="s">
        <v>201</v>
      </c>
      <c r="C165" s="7" t="s">
        <v>26</v>
      </c>
      <c r="D165" s="7" t="n">
        <v>110</v>
      </c>
      <c r="E165" s="7" t="n">
        <v>72</v>
      </c>
      <c r="F165" s="7" t="n">
        <f aca="false">ROUND(D165*E165/100,0)</f>
        <v>79</v>
      </c>
      <c r="G165" s="7" t="str">
        <f aca="false">IF(OR(B165="ESP",B165="ARG"),"Finalist","Non-finalist")</f>
        <v>Non-finalist</v>
      </c>
    </row>
    <row r="166" customFormat="false" ht="15" hidden="false" customHeight="false" outlineLevel="0" collapsed="false">
      <c r="A166" s="7" t="s">
        <v>206</v>
      </c>
      <c r="B166" s="7" t="s">
        <v>207</v>
      </c>
      <c r="C166" s="7" t="s">
        <v>24</v>
      </c>
      <c r="D166" s="7" t="n">
        <v>148</v>
      </c>
      <c r="E166" s="7" t="n">
        <v>95</v>
      </c>
      <c r="F166" s="7" t="n">
        <f aca="false">ROUND(D166*E166/100,0)</f>
        <v>141</v>
      </c>
      <c r="G166" s="7" t="str">
        <f aca="false">IF(OR(B166="ESP",B166="ARG"),"Finalist","Non-finalist")</f>
        <v>Non-finalist</v>
      </c>
    </row>
    <row r="167" customFormat="false" ht="15" hidden="false" customHeight="false" outlineLevel="0" collapsed="false">
      <c r="A167" s="7" t="s">
        <v>208</v>
      </c>
      <c r="B167" s="7" t="s">
        <v>207</v>
      </c>
      <c r="C167" s="7" t="s">
        <v>34</v>
      </c>
      <c r="D167" s="7" t="n">
        <v>147</v>
      </c>
      <c r="E167" s="7" t="n">
        <v>80</v>
      </c>
      <c r="F167" s="7" t="n">
        <f aca="false">ROUND(D167*E167/100,0)</f>
        <v>118</v>
      </c>
      <c r="G167" s="7" t="str">
        <f aca="false">IF(OR(B167="ESP",B167="ARG"),"Finalist","Non-finalist")</f>
        <v>Non-finalist</v>
      </c>
    </row>
    <row r="168" customFormat="false" ht="15" hidden="false" customHeight="false" outlineLevel="0" collapsed="false">
      <c r="A168" s="7" t="s">
        <v>209</v>
      </c>
      <c r="B168" s="7" t="s">
        <v>207</v>
      </c>
      <c r="C168" s="7" t="s">
        <v>28</v>
      </c>
      <c r="D168" s="7" t="n">
        <v>105</v>
      </c>
      <c r="E168" s="7" t="n">
        <v>67</v>
      </c>
      <c r="F168" s="7" t="n">
        <f aca="false">ROUND(D168*E168/100,0)</f>
        <v>70</v>
      </c>
      <c r="G168" s="7" t="str">
        <f aca="false">IF(OR(B168="ESP",B168="ARG"),"Finalist","Non-finalist")</f>
        <v>Non-finalist</v>
      </c>
    </row>
    <row r="169" customFormat="false" ht="15" hidden="false" customHeight="false" outlineLevel="0" collapsed="false">
      <c r="A169" s="7" t="s">
        <v>210</v>
      </c>
      <c r="B169" s="7" t="s">
        <v>207</v>
      </c>
      <c r="C169" s="7" t="s">
        <v>26</v>
      </c>
      <c r="D169" s="7" t="n">
        <v>113</v>
      </c>
      <c r="E169" s="7" t="n">
        <v>89</v>
      </c>
      <c r="F169" s="7" t="n">
        <f aca="false">ROUND(D169*E169/100,0)</f>
        <v>101</v>
      </c>
      <c r="G169" s="7" t="str">
        <f aca="false">IF(OR(B169="ESP",B169="ARG"),"Finalist","Non-finalist")</f>
        <v>Non-finalist</v>
      </c>
    </row>
    <row r="170" customFormat="false" ht="15" hidden="false" customHeight="false" outlineLevel="0" collapsed="false">
      <c r="A170" s="7" t="s">
        <v>211</v>
      </c>
      <c r="B170" s="7" t="s">
        <v>207</v>
      </c>
      <c r="C170" s="7" t="s">
        <v>34</v>
      </c>
      <c r="D170" s="7" t="n">
        <v>104</v>
      </c>
      <c r="E170" s="7" t="n">
        <v>82</v>
      </c>
      <c r="F170" s="7" t="n">
        <f aca="false">ROUND(D170*E170/100,0)</f>
        <v>85</v>
      </c>
      <c r="G170" s="7" t="str">
        <f aca="false">IF(OR(B170="ESP",B170="ARG"),"Finalist","Non-finalist")</f>
        <v>Non-finalist</v>
      </c>
    </row>
    <row r="171" customFormat="false" ht="15" hidden="false" customHeight="false" outlineLevel="0" collapsed="false">
      <c r="A171" s="7" t="s">
        <v>212</v>
      </c>
      <c r="B171" s="7" t="s">
        <v>207</v>
      </c>
      <c r="C171" s="7" t="s">
        <v>24</v>
      </c>
      <c r="D171" s="7" t="n">
        <v>295</v>
      </c>
      <c r="E171" s="7" t="n">
        <v>89</v>
      </c>
      <c r="F171" s="7" t="n">
        <f aca="false">ROUND(D171*E171/100,0)</f>
        <v>263</v>
      </c>
      <c r="G171" s="7" t="str">
        <f aca="false">IF(OR(B171="ESP",B171="ARG"),"Finalist","Non-finalist")</f>
        <v>Non-finalist</v>
      </c>
    </row>
    <row r="172" customFormat="false" ht="15" hidden="false" customHeight="false" outlineLevel="0" collapsed="false">
      <c r="A172" s="7" t="s">
        <v>213</v>
      </c>
      <c r="B172" s="7" t="s">
        <v>207</v>
      </c>
      <c r="C172" s="7" t="s">
        <v>24</v>
      </c>
      <c r="D172" s="7" t="n">
        <v>297</v>
      </c>
      <c r="E172" s="7" t="n">
        <v>91</v>
      </c>
      <c r="F172" s="7" t="n">
        <f aca="false">ROUND(D172*E172/100,0)</f>
        <v>270</v>
      </c>
      <c r="G172" s="7" t="str">
        <f aca="false">IF(OR(B172="ESP",B172="ARG"),"Finalist","Non-finalist")</f>
        <v>Non-finalist</v>
      </c>
    </row>
    <row r="173" customFormat="false" ht="15" hidden="false" customHeight="false" outlineLevel="0" collapsed="false">
      <c r="A173" s="7" t="s">
        <v>214</v>
      </c>
      <c r="B173" s="7" t="s">
        <v>207</v>
      </c>
      <c r="C173" s="7" t="s">
        <v>26</v>
      </c>
      <c r="D173" s="7" t="n">
        <v>189</v>
      </c>
      <c r="E173" s="7" t="n">
        <v>85</v>
      </c>
      <c r="F173" s="7" t="n">
        <f aca="false">ROUND(D173*E173/100,0)</f>
        <v>161</v>
      </c>
      <c r="G173" s="7" t="str">
        <f aca="false">IF(OR(B173="ESP",B173="ARG"),"Finalist","Non-finalist")</f>
        <v>Non-finalist</v>
      </c>
    </row>
    <row r="174" customFormat="false" ht="15" hidden="false" customHeight="false" outlineLevel="0" collapsed="false">
      <c r="A174" s="7" t="s">
        <v>215</v>
      </c>
      <c r="B174" s="7" t="s">
        <v>207</v>
      </c>
      <c r="C174" s="7" t="s">
        <v>26</v>
      </c>
      <c r="D174" s="7" t="n">
        <v>238</v>
      </c>
      <c r="E174" s="7" t="n">
        <v>91</v>
      </c>
      <c r="F174" s="7" t="n">
        <f aca="false">ROUND(D174*E174/100,0)</f>
        <v>217</v>
      </c>
      <c r="G174" s="7" t="str">
        <f aca="false">IF(OR(B174="ESP",B174="ARG"),"Finalist","Non-finalist")</f>
        <v>Non-finalist</v>
      </c>
    </row>
    <row r="175" customFormat="false" ht="15" hidden="false" customHeight="false" outlineLevel="0" collapsed="false">
      <c r="A175" s="7" t="s">
        <v>216</v>
      </c>
      <c r="B175" s="7" t="s">
        <v>217</v>
      </c>
      <c r="C175" s="7" t="s">
        <v>26</v>
      </c>
      <c r="D175" s="7" t="n">
        <v>182</v>
      </c>
      <c r="E175" s="7" t="n">
        <v>90</v>
      </c>
      <c r="F175" s="7" t="n">
        <f aca="false">ROUND(D175*E175/100,0)</f>
        <v>164</v>
      </c>
      <c r="G175" s="7" t="str">
        <f aca="false">IF(OR(B175="ESP",B175="ARG"),"Finalist","Non-finalist")</f>
        <v>Non-finalist</v>
      </c>
    </row>
    <row r="176" customFormat="false" ht="15" hidden="false" customHeight="false" outlineLevel="0" collapsed="false">
      <c r="A176" s="7" t="s">
        <v>218</v>
      </c>
      <c r="B176" s="7" t="s">
        <v>217</v>
      </c>
      <c r="C176" s="7" t="s">
        <v>24</v>
      </c>
      <c r="D176" s="7" t="n">
        <v>207</v>
      </c>
      <c r="E176" s="7" t="n">
        <v>85</v>
      </c>
      <c r="F176" s="7" t="n">
        <f aca="false">ROUND(D176*E176/100,0)</f>
        <v>176</v>
      </c>
      <c r="G176" s="7" t="str">
        <f aca="false">IF(OR(B176="ESP",B176="ARG"),"Finalist","Non-finalist")</f>
        <v>Non-finalist</v>
      </c>
    </row>
    <row r="177" customFormat="false" ht="15" hidden="false" customHeight="false" outlineLevel="0" collapsed="false">
      <c r="A177" s="7" t="s">
        <v>219</v>
      </c>
      <c r="B177" s="7" t="s">
        <v>217</v>
      </c>
      <c r="C177" s="7" t="s">
        <v>24</v>
      </c>
      <c r="D177" s="7" t="n">
        <v>130</v>
      </c>
      <c r="E177" s="7" t="n">
        <v>92</v>
      </c>
      <c r="F177" s="7" t="n">
        <f aca="false">ROUND(D177*E177/100,0)</f>
        <v>120</v>
      </c>
      <c r="G177" s="7" t="str">
        <f aca="false">IF(OR(B177="ESP",B177="ARG"),"Finalist","Non-finalist")</f>
        <v>Non-finalist</v>
      </c>
    </row>
    <row r="178" customFormat="false" ht="15" hidden="false" customHeight="false" outlineLevel="0" collapsed="false">
      <c r="A178" s="7" t="s">
        <v>220</v>
      </c>
      <c r="B178" s="7" t="s">
        <v>217</v>
      </c>
      <c r="C178" s="7" t="s">
        <v>26</v>
      </c>
      <c r="D178" s="7" t="n">
        <v>113</v>
      </c>
      <c r="E178" s="7" t="n">
        <v>88</v>
      </c>
      <c r="F178" s="7" t="n">
        <f aca="false">ROUND(D178*E178/100,0)</f>
        <v>99</v>
      </c>
      <c r="G178" s="7" t="str">
        <f aca="false">IF(OR(B178="ESP",B178="ARG"),"Finalist","Non-finalist")</f>
        <v>Non-finalist</v>
      </c>
    </row>
    <row r="179" customFormat="false" ht="15" hidden="false" customHeight="false" outlineLevel="0" collapsed="false">
      <c r="A179" s="7" t="s">
        <v>221</v>
      </c>
      <c r="B179" s="7" t="s">
        <v>217</v>
      </c>
      <c r="C179" s="7" t="s">
        <v>24</v>
      </c>
      <c r="D179" s="7" t="n">
        <v>357</v>
      </c>
      <c r="E179" s="7" t="n">
        <v>88</v>
      </c>
      <c r="F179" s="7" t="n">
        <f aca="false">ROUND(D179*E179/100,0)</f>
        <v>314</v>
      </c>
      <c r="G179" s="7" t="str">
        <f aca="false">IF(OR(B179="ESP",B179="ARG"),"Finalist","Non-finalist")</f>
        <v>Non-finalist</v>
      </c>
    </row>
    <row r="180" customFormat="false" ht="15" hidden="false" customHeight="false" outlineLevel="0" collapsed="false">
      <c r="A180" s="7" t="s">
        <v>222</v>
      </c>
      <c r="B180" s="7" t="s">
        <v>217</v>
      </c>
      <c r="C180" s="7" t="s">
        <v>26</v>
      </c>
      <c r="D180" s="7" t="n">
        <v>282</v>
      </c>
      <c r="E180" s="7" t="n">
        <v>87</v>
      </c>
      <c r="F180" s="7" t="n">
        <f aca="false">ROUND(D180*E180/100,0)</f>
        <v>245</v>
      </c>
      <c r="G180" s="7" t="str">
        <f aca="false">IF(OR(B180="ESP",B180="ARG"),"Finalist","Non-finalist")</f>
        <v>Non-finalist</v>
      </c>
    </row>
    <row r="181" customFormat="false" ht="15" hidden="false" customHeight="false" outlineLevel="0" collapsed="false">
      <c r="A181" s="7" t="s">
        <v>223</v>
      </c>
      <c r="B181" s="7" t="s">
        <v>217</v>
      </c>
      <c r="C181" s="7" t="s">
        <v>34</v>
      </c>
      <c r="D181" s="7" t="n">
        <v>136</v>
      </c>
      <c r="E181" s="7" t="n">
        <v>82</v>
      </c>
      <c r="F181" s="7" t="n">
        <f aca="false">ROUND(D181*E181/100,0)</f>
        <v>112</v>
      </c>
      <c r="G181" s="7" t="str">
        <f aca="false">IF(OR(B181="ESP",B181="ARG"),"Finalist","Non-finalist")</f>
        <v>Non-finalist</v>
      </c>
    </row>
    <row r="182" customFormat="false" ht="15" hidden="false" customHeight="false" outlineLevel="0" collapsed="false">
      <c r="A182" s="7" t="s">
        <v>224</v>
      </c>
      <c r="B182" s="7" t="s">
        <v>217</v>
      </c>
      <c r="C182" s="7" t="s">
        <v>24</v>
      </c>
      <c r="D182" s="7" t="n">
        <v>191</v>
      </c>
      <c r="E182" s="7" t="n">
        <v>88</v>
      </c>
      <c r="F182" s="7" t="n">
        <f aca="false">ROUND(D182*E182/100,0)</f>
        <v>168</v>
      </c>
      <c r="G182" s="7" t="str">
        <f aca="false">IF(OR(B182="ESP",B182="ARG"),"Finalist","Non-finalist")</f>
        <v>Non-finalist</v>
      </c>
    </row>
    <row r="183" customFormat="false" ht="15" hidden="false" customHeight="false" outlineLevel="0" collapsed="false">
      <c r="A183" s="7" t="s">
        <v>225</v>
      </c>
      <c r="B183" s="7" t="s">
        <v>217</v>
      </c>
      <c r="C183" s="7" t="s">
        <v>28</v>
      </c>
      <c r="D183" s="7" t="n">
        <v>147</v>
      </c>
      <c r="E183" s="7" t="n">
        <v>78</v>
      </c>
      <c r="F183" s="7" t="n">
        <f aca="false">ROUND(D183*E183/100,0)</f>
        <v>115</v>
      </c>
      <c r="G183" s="7" t="str">
        <f aca="false">IF(OR(B183="ESP",B183="ARG"),"Finalist","Non-finalist")</f>
        <v>Non-finalist</v>
      </c>
    </row>
    <row r="184" customFormat="false" ht="15" hidden="false" customHeight="false" outlineLevel="0" collapsed="false">
      <c r="A184" s="7" t="s">
        <v>226</v>
      </c>
      <c r="B184" s="7" t="s">
        <v>217</v>
      </c>
      <c r="C184" s="7" t="s">
        <v>26</v>
      </c>
      <c r="D184" s="7" t="n">
        <v>244</v>
      </c>
      <c r="E184" s="7" t="n">
        <v>92</v>
      </c>
      <c r="F184" s="7" t="n">
        <f aca="false">ROUND(D184*E184/100,0)</f>
        <v>224</v>
      </c>
      <c r="G184" s="7" t="str">
        <f aca="false">IF(OR(B184="ESP",B184="ARG"),"Finalist","Non-finalist")</f>
        <v>Non-finalist</v>
      </c>
    </row>
    <row r="185" customFormat="false" ht="15" hidden="false" customHeight="false" outlineLevel="0" collapsed="false">
      <c r="A185" s="7" t="s">
        <v>227</v>
      </c>
      <c r="B185" s="7" t="s">
        <v>217</v>
      </c>
      <c r="C185" s="7" t="s">
        <v>26</v>
      </c>
      <c r="D185" s="7" t="n">
        <v>260</v>
      </c>
      <c r="E185" s="7" t="n">
        <v>92</v>
      </c>
      <c r="F185" s="7" t="n">
        <f aca="false">ROUND(D185*E185/100,0)</f>
        <v>239</v>
      </c>
      <c r="G185" s="7" t="str">
        <f aca="false">IF(OR(B185="ESP",B185="ARG"),"Finalist","Non-finalist")</f>
        <v>Non-finalist</v>
      </c>
    </row>
    <row r="186" customFormat="false" ht="15" hidden="false" customHeight="false" outlineLevel="0" collapsed="false">
      <c r="A186" s="7" t="s">
        <v>228</v>
      </c>
      <c r="B186" s="7" t="s">
        <v>229</v>
      </c>
      <c r="C186" s="7" t="s">
        <v>34</v>
      </c>
      <c r="D186" s="7" t="n">
        <v>113</v>
      </c>
      <c r="E186" s="7" t="n">
        <v>85</v>
      </c>
      <c r="F186" s="7" t="n">
        <f aca="false">ROUND(D186*E186/100,0)</f>
        <v>96</v>
      </c>
      <c r="G186" s="7" t="str">
        <f aca="false">IF(OR(B186="ESP",B186="ARG"),"Finalist","Non-finalist")</f>
        <v>Non-finalist</v>
      </c>
    </row>
    <row r="187" customFormat="false" ht="15" hidden="false" customHeight="false" outlineLevel="0" collapsed="false">
      <c r="A187" s="7" t="s">
        <v>230</v>
      </c>
      <c r="B187" s="7" t="s">
        <v>229</v>
      </c>
      <c r="C187" s="7" t="s">
        <v>34</v>
      </c>
      <c r="D187" s="7" t="n">
        <v>101</v>
      </c>
      <c r="E187" s="7" t="n">
        <v>80</v>
      </c>
      <c r="F187" s="7" t="n">
        <f aca="false">ROUND(D187*E187/100,0)</f>
        <v>81</v>
      </c>
      <c r="G187" s="7" t="str">
        <f aca="false">IF(OR(B187="ESP",B187="ARG"),"Finalist","Non-finalist")</f>
        <v>Non-finalist</v>
      </c>
    </row>
    <row r="188" customFormat="false" ht="15" hidden="false" customHeight="false" outlineLevel="0" collapsed="false">
      <c r="A188" s="7" t="s">
        <v>231</v>
      </c>
      <c r="B188" s="7" t="s">
        <v>229</v>
      </c>
      <c r="C188" s="7" t="s">
        <v>24</v>
      </c>
      <c r="D188" s="7" t="n">
        <v>340</v>
      </c>
      <c r="E188" s="7" t="n">
        <v>92</v>
      </c>
      <c r="F188" s="7" t="n">
        <f aca="false">ROUND(D188*E188/100,0)</f>
        <v>313</v>
      </c>
      <c r="G188" s="7" t="str">
        <f aca="false">IF(OR(B188="ESP",B188="ARG"),"Finalist","Non-finalist")</f>
        <v>Non-finalist</v>
      </c>
    </row>
    <row r="189" customFormat="false" ht="15" hidden="false" customHeight="false" outlineLevel="0" collapsed="false">
      <c r="A189" s="7" t="s">
        <v>232</v>
      </c>
      <c r="B189" s="7" t="s">
        <v>229</v>
      </c>
      <c r="C189" s="7" t="s">
        <v>26</v>
      </c>
      <c r="D189" s="7" t="n">
        <v>201</v>
      </c>
      <c r="E189" s="7" t="n">
        <v>88</v>
      </c>
      <c r="F189" s="7" t="n">
        <f aca="false">ROUND(D189*E189/100,0)</f>
        <v>177</v>
      </c>
      <c r="G189" s="7" t="str">
        <f aca="false">IF(OR(B189="ESP",B189="ARG"),"Finalist","Non-finalist")</f>
        <v>Non-finalist</v>
      </c>
    </row>
    <row r="190" customFormat="false" ht="15" hidden="false" customHeight="false" outlineLevel="0" collapsed="false">
      <c r="A190" s="7" t="s">
        <v>233</v>
      </c>
      <c r="B190" s="7" t="s">
        <v>229</v>
      </c>
      <c r="C190" s="7" t="s">
        <v>24</v>
      </c>
      <c r="D190" s="7" t="n">
        <v>97</v>
      </c>
      <c r="E190" s="7" t="n">
        <v>92</v>
      </c>
      <c r="F190" s="7" t="n">
        <f aca="false">ROUND(D190*E190/100,0)</f>
        <v>89</v>
      </c>
      <c r="G190" s="7" t="str">
        <f aca="false">IF(OR(B190="ESP",B190="ARG"),"Finalist","Non-finalist")</f>
        <v>Non-finalist</v>
      </c>
    </row>
    <row r="191" customFormat="false" ht="15" hidden="false" customHeight="false" outlineLevel="0" collapsed="false">
      <c r="A191" s="7" t="s">
        <v>234</v>
      </c>
      <c r="B191" s="7" t="s">
        <v>229</v>
      </c>
      <c r="C191" s="7" t="s">
        <v>24</v>
      </c>
      <c r="D191" s="7" t="n">
        <v>445</v>
      </c>
      <c r="E191" s="7" t="n">
        <v>89</v>
      </c>
      <c r="F191" s="7" t="n">
        <f aca="false">ROUND(D191*E191/100,0)</f>
        <v>396</v>
      </c>
      <c r="G191" s="7" t="str">
        <f aca="false">IF(OR(B191="ESP",B191="ARG"),"Finalist","Non-finalist")</f>
        <v>Non-finalist</v>
      </c>
    </row>
    <row r="192" customFormat="false" ht="15" hidden="false" customHeight="false" outlineLevel="0" collapsed="false">
      <c r="A192" s="7" t="s">
        <v>235</v>
      </c>
      <c r="B192" s="7" t="s">
        <v>229</v>
      </c>
      <c r="C192" s="7" t="s">
        <v>26</v>
      </c>
      <c r="D192" s="7" t="n">
        <v>488</v>
      </c>
      <c r="E192" s="7" t="n">
        <v>96</v>
      </c>
      <c r="F192" s="7" t="n">
        <f aca="false">ROUND(D192*E192/100,0)</f>
        <v>468</v>
      </c>
      <c r="G192" s="7" t="str">
        <f aca="false">IF(OR(B192="ESP",B192="ARG"),"Finalist","Non-finalist")</f>
        <v>Non-finalist</v>
      </c>
    </row>
    <row r="193" customFormat="false" ht="15" hidden="false" customHeight="false" outlineLevel="0" collapsed="false">
      <c r="A193" s="7" t="s">
        <v>236</v>
      </c>
      <c r="B193" s="7" t="s">
        <v>229</v>
      </c>
      <c r="C193" s="7" t="s">
        <v>34</v>
      </c>
      <c r="D193" s="7" t="n">
        <v>99</v>
      </c>
      <c r="E193" s="7" t="n">
        <v>74</v>
      </c>
      <c r="F193" s="7" t="n">
        <f aca="false">ROUND(D193*E193/100,0)</f>
        <v>73</v>
      </c>
      <c r="G193" s="7" t="str">
        <f aca="false">IF(OR(B193="ESP",B193="ARG"),"Finalist","Non-finalist")</f>
        <v>Non-finalist</v>
      </c>
    </row>
    <row r="194" customFormat="false" ht="15" hidden="false" customHeight="false" outlineLevel="0" collapsed="false">
      <c r="A194" s="7" t="s">
        <v>237</v>
      </c>
      <c r="B194" s="7" t="s">
        <v>229</v>
      </c>
      <c r="C194" s="7" t="s">
        <v>26</v>
      </c>
      <c r="D194" s="7" t="n">
        <v>106</v>
      </c>
      <c r="E194" s="7" t="n">
        <v>87</v>
      </c>
      <c r="F194" s="7" t="n">
        <f aca="false">ROUND(D194*E194/100,0)</f>
        <v>92</v>
      </c>
      <c r="G194" s="7" t="str">
        <f aca="false">IF(OR(B194="ESP",B194="ARG"),"Finalist","Non-finalist")</f>
        <v>Non-finalist</v>
      </c>
    </row>
    <row r="195" customFormat="false" ht="15" hidden="false" customHeight="false" outlineLevel="0" collapsed="false">
      <c r="A195" s="7" t="s">
        <v>238</v>
      </c>
      <c r="B195" s="7" t="s">
        <v>229</v>
      </c>
      <c r="C195" s="7" t="s">
        <v>26</v>
      </c>
      <c r="D195" s="7" t="n">
        <v>184</v>
      </c>
      <c r="E195" s="7" t="n">
        <v>97</v>
      </c>
      <c r="F195" s="7" t="n">
        <f aca="false">ROUND(D195*E195/100,0)</f>
        <v>178</v>
      </c>
      <c r="G195" s="7" t="str">
        <f aca="false">IF(OR(B195="ESP",B195="ARG"),"Finalist","Non-finalist")</f>
        <v>Non-finalist</v>
      </c>
    </row>
    <row r="196" customFormat="false" ht="15" hidden="false" customHeight="false" outlineLevel="0" collapsed="false">
      <c r="A196" s="7" t="s">
        <v>239</v>
      </c>
      <c r="B196" s="7" t="s">
        <v>229</v>
      </c>
      <c r="C196" s="7" t="s">
        <v>28</v>
      </c>
      <c r="D196" s="7" t="n">
        <v>265</v>
      </c>
      <c r="E196" s="7" t="n">
        <v>72</v>
      </c>
      <c r="F196" s="7" t="n">
        <f aca="false">ROUND(D196*E196/100,0)</f>
        <v>191</v>
      </c>
      <c r="G196" s="7" t="str">
        <f aca="false">IF(OR(B196="ESP",B196="ARG"),"Finalist","Non-finalist")</f>
        <v>Non-finalist</v>
      </c>
    </row>
    <row r="197" customFormat="false" ht="15" hidden="false" customHeight="false" outlineLevel="0" collapsed="false">
      <c r="A197" s="7" t="s">
        <v>240</v>
      </c>
      <c r="B197" s="7" t="s">
        <v>229</v>
      </c>
      <c r="C197" s="7" t="s">
        <v>24</v>
      </c>
      <c r="D197" s="7" t="n">
        <v>231</v>
      </c>
      <c r="E197" s="7" t="n">
        <v>83</v>
      </c>
      <c r="F197" s="7" t="n">
        <f aca="false">ROUND(D197*E197/100,0)</f>
        <v>192</v>
      </c>
      <c r="G197" s="7" t="str">
        <f aca="false">IF(OR(B197="ESP",B197="ARG"),"Finalist","Non-finalist")</f>
        <v>Non-finalist</v>
      </c>
    </row>
    <row r="198" customFormat="false" ht="15" hidden="false" customHeight="false" outlineLevel="0" collapsed="false">
      <c r="A198" s="7" t="s">
        <v>241</v>
      </c>
      <c r="B198" s="7" t="s">
        <v>229</v>
      </c>
      <c r="C198" s="7" t="s">
        <v>26</v>
      </c>
      <c r="D198" s="7" t="n">
        <v>532</v>
      </c>
      <c r="E198" s="7" t="n">
        <v>97</v>
      </c>
      <c r="F198" s="7" t="n">
        <f aca="false">ROUND(D198*E198/100,0)</f>
        <v>516</v>
      </c>
      <c r="G198" s="7" t="str">
        <f aca="false">IF(OR(B198="ESP",B198="ARG"),"Finalist","Non-finalist")</f>
        <v>Non-finalist</v>
      </c>
    </row>
    <row r="199" customFormat="false" ht="15" hidden="false" customHeight="false" outlineLevel="0" collapsed="false">
      <c r="A199" s="7" t="s">
        <v>242</v>
      </c>
      <c r="B199" s="7" t="s">
        <v>229</v>
      </c>
      <c r="C199" s="7" t="s">
        <v>34</v>
      </c>
      <c r="D199" s="7" t="n">
        <v>104</v>
      </c>
      <c r="E199" s="7" t="n">
        <v>88</v>
      </c>
      <c r="F199" s="7" t="n">
        <f aca="false">ROUND(D199*E199/100,0)</f>
        <v>92</v>
      </c>
      <c r="G199" s="7" t="str">
        <f aca="false">IF(OR(B199="ESP",B199="ARG"),"Finalist","Non-finalist")</f>
        <v>Non-finalist</v>
      </c>
    </row>
    <row r="200" customFormat="false" ht="15" hidden="false" customHeight="false" outlineLevel="0" collapsed="false">
      <c r="A200" s="7" t="s">
        <v>243</v>
      </c>
      <c r="B200" s="7" t="s">
        <v>229</v>
      </c>
      <c r="C200" s="7" t="s">
        <v>24</v>
      </c>
      <c r="D200" s="7" t="n">
        <v>121</v>
      </c>
      <c r="E200" s="7" t="n">
        <v>84</v>
      </c>
      <c r="F200" s="7" t="n">
        <f aca="false">ROUND(D200*E200/100,0)</f>
        <v>102</v>
      </c>
      <c r="G200" s="7" t="str">
        <f aca="false">IF(OR(B200="ESP",B200="ARG"),"Finalist","Non-finalist")</f>
        <v>Non-finalist</v>
      </c>
    </row>
    <row r="201" customFormat="false" ht="15" hidden="false" customHeight="false" outlineLevel="0" collapsed="false">
      <c r="A201" s="7" t="s">
        <v>244</v>
      </c>
      <c r="B201" s="7" t="s">
        <v>229</v>
      </c>
      <c r="C201" s="7" t="s">
        <v>26</v>
      </c>
      <c r="D201" s="7" t="n">
        <v>216</v>
      </c>
      <c r="E201" s="7" t="n">
        <v>93</v>
      </c>
      <c r="F201" s="7" t="n">
        <f aca="false">ROUND(D201*E201/100,0)</f>
        <v>201</v>
      </c>
      <c r="G201" s="7" t="str">
        <f aca="false">IF(OR(B201="ESP",B201="ARG"),"Finalist","Non-finalist")</f>
        <v>Non-finalist</v>
      </c>
    </row>
    <row r="202" customFormat="false" ht="15" hidden="false" customHeight="false" outlineLevel="0" collapsed="false">
      <c r="A202" s="7" t="s">
        <v>245</v>
      </c>
      <c r="B202" s="7" t="s">
        <v>229</v>
      </c>
      <c r="C202" s="7" t="s">
        <v>34</v>
      </c>
      <c r="D202" s="7" t="n">
        <v>94</v>
      </c>
      <c r="E202" s="7" t="n">
        <v>87</v>
      </c>
      <c r="F202" s="7" t="n">
        <f aca="false">ROUND(D202*E202/100,0)</f>
        <v>82</v>
      </c>
      <c r="G202" s="7" t="str">
        <f aca="false">IF(OR(B202="ESP",B202="ARG"),"Finalist","Non-finalist")</f>
        <v>Non-finalist</v>
      </c>
    </row>
    <row r="203" customFormat="false" ht="15" hidden="false" customHeight="false" outlineLevel="0" collapsed="false">
      <c r="A203" s="7" t="s">
        <v>246</v>
      </c>
      <c r="B203" s="7" t="s">
        <v>229</v>
      </c>
      <c r="C203" s="7" t="s">
        <v>26</v>
      </c>
      <c r="D203" s="7" t="n">
        <v>188</v>
      </c>
      <c r="E203" s="7" t="n">
        <v>92</v>
      </c>
      <c r="F203" s="7" t="n">
        <f aca="false">ROUND(D203*E203/100,0)</f>
        <v>173</v>
      </c>
      <c r="G203" s="7" t="str">
        <f aca="false">IF(OR(B203="ESP",B203="ARG"),"Finalist","Non-finalist")</f>
        <v>Non-finalist</v>
      </c>
    </row>
    <row r="204" customFormat="false" ht="15" hidden="false" customHeight="false" outlineLevel="0" collapsed="false">
      <c r="A204" s="7" t="s">
        <v>247</v>
      </c>
      <c r="B204" s="7" t="s">
        <v>248</v>
      </c>
      <c r="C204" s="7" t="s">
        <v>24</v>
      </c>
      <c r="D204" s="7" t="n">
        <v>351</v>
      </c>
      <c r="E204" s="7" t="n">
        <v>92</v>
      </c>
      <c r="F204" s="7" t="n">
        <f aca="false">ROUND(D204*E204/100,0)</f>
        <v>323</v>
      </c>
      <c r="G204" s="7" t="str">
        <f aca="false">IF(OR(B204="ESP",B204="ARG"),"Finalist","Non-finalist")</f>
        <v>Non-finalist</v>
      </c>
    </row>
    <row r="205" customFormat="false" ht="15" hidden="false" customHeight="false" outlineLevel="0" collapsed="false">
      <c r="A205" s="7" t="s">
        <v>249</v>
      </c>
      <c r="B205" s="7" t="s">
        <v>248</v>
      </c>
      <c r="C205" s="7" t="s">
        <v>24</v>
      </c>
      <c r="D205" s="7" t="n">
        <v>254</v>
      </c>
      <c r="E205" s="7" t="n">
        <v>94</v>
      </c>
      <c r="F205" s="7" t="n">
        <f aca="false">ROUND(D205*E205/100,0)</f>
        <v>239</v>
      </c>
      <c r="G205" s="7" t="str">
        <f aca="false">IF(OR(B205="ESP",B205="ARG"),"Finalist","Non-finalist")</f>
        <v>Non-finalist</v>
      </c>
    </row>
    <row r="206" customFormat="false" ht="15" hidden="false" customHeight="false" outlineLevel="0" collapsed="false">
      <c r="A206" s="7" t="s">
        <v>250</v>
      </c>
      <c r="B206" s="7" t="s">
        <v>248</v>
      </c>
      <c r="C206" s="7" t="s">
        <v>34</v>
      </c>
      <c r="D206" s="7" t="n">
        <v>117</v>
      </c>
      <c r="E206" s="7" t="n">
        <v>91</v>
      </c>
      <c r="F206" s="7" t="n">
        <f aca="false">ROUND(D206*E206/100,0)</f>
        <v>106</v>
      </c>
      <c r="G206" s="7" t="str">
        <f aca="false">IF(OR(B206="ESP",B206="ARG"),"Finalist","Non-finalist")</f>
        <v>Non-finalist</v>
      </c>
    </row>
    <row r="207" customFormat="false" ht="15" hidden="false" customHeight="false" outlineLevel="0" collapsed="false">
      <c r="A207" s="7" t="s">
        <v>251</v>
      </c>
      <c r="B207" s="7" t="s">
        <v>248</v>
      </c>
      <c r="C207" s="7" t="s">
        <v>26</v>
      </c>
      <c r="D207" s="7" t="n">
        <v>443</v>
      </c>
      <c r="E207" s="7" t="n">
        <v>92</v>
      </c>
      <c r="F207" s="7" t="n">
        <f aca="false">ROUND(D207*E207/100,0)</f>
        <v>408</v>
      </c>
      <c r="G207" s="7" t="str">
        <f aca="false">IF(OR(B207="ESP",B207="ARG"),"Finalist","Non-finalist")</f>
        <v>Non-finalist</v>
      </c>
    </row>
    <row r="208" customFormat="false" ht="15" hidden="false" customHeight="false" outlineLevel="0" collapsed="false">
      <c r="A208" s="7" t="s">
        <v>252</v>
      </c>
      <c r="B208" s="7" t="s">
        <v>248</v>
      </c>
      <c r="C208" s="7" t="s">
        <v>34</v>
      </c>
      <c r="D208" s="7" t="n">
        <v>196</v>
      </c>
      <c r="E208" s="7" t="n">
        <v>85</v>
      </c>
      <c r="F208" s="7" t="n">
        <f aca="false">ROUND(D208*E208/100,0)</f>
        <v>167</v>
      </c>
      <c r="G208" s="7" t="str">
        <f aca="false">IF(OR(B208="ESP",B208="ARG"),"Finalist","Non-finalist")</f>
        <v>Non-finalist</v>
      </c>
    </row>
    <row r="209" customFormat="false" ht="15" hidden="false" customHeight="false" outlineLevel="0" collapsed="false">
      <c r="A209" s="7" t="s">
        <v>253</v>
      </c>
      <c r="B209" s="7" t="s">
        <v>248</v>
      </c>
      <c r="C209" s="7" t="s">
        <v>26</v>
      </c>
      <c r="D209" s="7" t="n">
        <v>353</v>
      </c>
      <c r="E209" s="7" t="n">
        <v>89</v>
      </c>
      <c r="F209" s="7" t="n">
        <f aca="false">ROUND(D209*E209/100,0)</f>
        <v>314</v>
      </c>
      <c r="G209" s="7" t="str">
        <f aca="false">IF(OR(B209="ESP",B209="ARG"),"Finalist","Non-finalist")</f>
        <v>Non-finalist</v>
      </c>
    </row>
    <row r="210" customFormat="false" ht="15" hidden="false" customHeight="false" outlineLevel="0" collapsed="false">
      <c r="A210" s="7" t="s">
        <v>254</v>
      </c>
      <c r="B210" s="7" t="s">
        <v>248</v>
      </c>
      <c r="C210" s="7" t="s">
        <v>34</v>
      </c>
      <c r="D210" s="7" t="n">
        <v>232</v>
      </c>
      <c r="E210" s="7" t="n">
        <v>87</v>
      </c>
      <c r="F210" s="7" t="n">
        <f aca="false">ROUND(D210*E210/100,0)</f>
        <v>202</v>
      </c>
      <c r="G210" s="7" t="str">
        <f aca="false">IF(OR(B210="ESP",B210="ARG"),"Finalist","Non-finalist")</f>
        <v>Non-finalist</v>
      </c>
    </row>
    <row r="211" customFormat="false" ht="15" hidden="false" customHeight="false" outlineLevel="0" collapsed="false">
      <c r="A211" s="7" t="s">
        <v>255</v>
      </c>
      <c r="B211" s="7" t="s">
        <v>248</v>
      </c>
      <c r="C211" s="7" t="s">
        <v>26</v>
      </c>
      <c r="D211" s="7" t="n">
        <v>283</v>
      </c>
      <c r="E211" s="7" t="n">
        <v>89</v>
      </c>
      <c r="F211" s="7" t="n">
        <f aca="false">ROUND(D211*E211/100,0)</f>
        <v>252</v>
      </c>
      <c r="G211" s="7" t="str">
        <f aca="false">IF(OR(B211="ESP",B211="ARG"),"Finalist","Non-finalist")</f>
        <v>Non-finalist</v>
      </c>
    </row>
    <row r="212" customFormat="false" ht="15" hidden="false" customHeight="false" outlineLevel="0" collapsed="false">
      <c r="A212" s="7" t="s">
        <v>256</v>
      </c>
      <c r="B212" s="7" t="s">
        <v>248</v>
      </c>
      <c r="C212" s="7" t="s">
        <v>24</v>
      </c>
      <c r="D212" s="7" t="n">
        <v>263</v>
      </c>
      <c r="E212" s="7" t="n">
        <v>92</v>
      </c>
      <c r="F212" s="7" t="n">
        <f aca="false">ROUND(D212*E212/100,0)</f>
        <v>242</v>
      </c>
      <c r="G212" s="7" t="str">
        <f aca="false">IF(OR(B212="ESP",B212="ARG"),"Finalist","Non-finalist")</f>
        <v>Non-finalist</v>
      </c>
    </row>
    <row r="213" customFormat="false" ht="15" hidden="false" customHeight="false" outlineLevel="0" collapsed="false">
      <c r="A213" s="7" t="s">
        <v>257</v>
      </c>
      <c r="B213" s="7" t="s">
        <v>248</v>
      </c>
      <c r="C213" s="7" t="s">
        <v>26</v>
      </c>
      <c r="D213" s="7" t="n">
        <v>130</v>
      </c>
      <c r="E213" s="7" t="n">
        <v>96</v>
      </c>
      <c r="F213" s="7" t="n">
        <f aca="false">ROUND(D213*E213/100,0)</f>
        <v>125</v>
      </c>
      <c r="G213" s="7" t="str">
        <f aca="false">IF(OR(B213="ESP",B213="ARG"),"Finalist","Non-finalist")</f>
        <v>Non-finalist</v>
      </c>
    </row>
    <row r="214" customFormat="false" ht="15" hidden="false" customHeight="false" outlineLevel="0" collapsed="false">
      <c r="A214" s="7" t="s">
        <v>258</v>
      </c>
      <c r="B214" s="7" t="s">
        <v>248</v>
      </c>
      <c r="C214" s="7" t="s">
        <v>34</v>
      </c>
      <c r="D214" s="7" t="n">
        <v>417</v>
      </c>
      <c r="E214" s="7" t="n">
        <v>87</v>
      </c>
      <c r="F214" s="7" t="n">
        <f aca="false">ROUND(D214*E214/100,0)</f>
        <v>363</v>
      </c>
      <c r="G214" s="7" t="str">
        <f aca="false">IF(OR(B214="ESP",B214="ARG"),"Finalist","Non-finalist")</f>
        <v>Non-finalist</v>
      </c>
    </row>
    <row r="215" customFormat="false" ht="15" hidden="false" customHeight="false" outlineLevel="0" collapsed="false">
      <c r="A215" s="7" t="s">
        <v>259</v>
      </c>
      <c r="B215" s="7" t="s">
        <v>248</v>
      </c>
      <c r="C215" s="7" t="s">
        <v>28</v>
      </c>
      <c r="D215" s="7" t="n">
        <v>225</v>
      </c>
      <c r="E215" s="7" t="n">
        <v>80</v>
      </c>
      <c r="F215" s="7" t="n">
        <f aca="false">ROUND(D215*E215/100,0)</f>
        <v>180</v>
      </c>
      <c r="G215" s="7" t="str">
        <f aca="false">IF(OR(B215="ESP",B215="ARG"),"Finalist","Non-finalist")</f>
        <v>Non-finalist</v>
      </c>
    </row>
    <row r="216" customFormat="false" ht="15" hidden="false" customHeight="false" outlineLevel="0" collapsed="false">
      <c r="A216" s="7" t="s">
        <v>260</v>
      </c>
      <c r="B216" s="7" t="s">
        <v>248</v>
      </c>
      <c r="C216" s="7" t="s">
        <v>34</v>
      </c>
      <c r="D216" s="7" t="n">
        <v>297</v>
      </c>
      <c r="E216" s="7" t="n">
        <v>79</v>
      </c>
      <c r="F216" s="7" t="n">
        <f aca="false">ROUND(D216*E216/100,0)</f>
        <v>235</v>
      </c>
      <c r="G216" s="7" t="str">
        <f aca="false">IF(OR(B216="ESP",B216="ARG"),"Finalist","Non-finalist")</f>
        <v>Non-finalist</v>
      </c>
    </row>
    <row r="217" customFormat="false" ht="15" hidden="false" customHeight="false" outlineLevel="0" collapsed="false">
      <c r="A217" s="7" t="s">
        <v>261</v>
      </c>
      <c r="B217" s="7" t="s">
        <v>248</v>
      </c>
      <c r="C217" s="7" t="s">
        <v>24</v>
      </c>
      <c r="D217" s="7" t="n">
        <v>104</v>
      </c>
      <c r="E217" s="7" t="n">
        <v>86</v>
      </c>
      <c r="F217" s="7" t="n">
        <f aca="false">ROUND(D217*E217/100,0)</f>
        <v>89</v>
      </c>
      <c r="G217" s="7" t="str">
        <f aca="false">IF(OR(B217="ESP",B217="ARG"),"Finalist","Non-finalist")</f>
        <v>Non-finalist</v>
      </c>
    </row>
    <row r="218" customFormat="false" ht="15" hidden="false" customHeight="false" outlineLevel="0" collapsed="false">
      <c r="A218" s="7" t="s">
        <v>262</v>
      </c>
      <c r="B218" s="7" t="s">
        <v>248</v>
      </c>
      <c r="C218" s="7" t="s">
        <v>26</v>
      </c>
      <c r="D218" s="7" t="n">
        <v>149</v>
      </c>
      <c r="E218" s="7" t="n">
        <v>93</v>
      </c>
      <c r="F218" s="7" t="n">
        <f aca="false">ROUND(D218*E218/100,0)</f>
        <v>139</v>
      </c>
      <c r="G218" s="7" t="str">
        <f aca="false">IF(OR(B218="ESP",B218="ARG"),"Finalist","Non-finalist")</f>
        <v>Non-finalist</v>
      </c>
    </row>
    <row r="219" customFormat="false" ht="15" hidden="false" customHeight="false" outlineLevel="0" collapsed="false">
      <c r="A219" s="7" t="s">
        <v>263</v>
      </c>
      <c r="B219" s="7" t="s">
        <v>248</v>
      </c>
      <c r="C219" s="7" t="s">
        <v>26</v>
      </c>
      <c r="D219" s="7" t="n">
        <v>315</v>
      </c>
      <c r="E219" s="7" t="n">
        <v>97</v>
      </c>
      <c r="F219" s="7" t="n">
        <f aca="false">ROUND(D219*E219/100,0)</f>
        <v>306</v>
      </c>
      <c r="G219" s="7" t="str">
        <f aca="false">IF(OR(B219="ESP",B219="ARG"),"Finalist","Non-finalist")</f>
        <v>Non-finalist</v>
      </c>
    </row>
    <row r="220" customFormat="false" ht="15" hidden="false" customHeight="false" outlineLevel="0" collapsed="false">
      <c r="A220" s="7" t="s">
        <v>264</v>
      </c>
      <c r="B220" s="7" t="s">
        <v>265</v>
      </c>
      <c r="C220" s="7" t="s">
        <v>24</v>
      </c>
      <c r="D220" s="7" t="n">
        <v>260</v>
      </c>
      <c r="E220" s="7" t="n">
        <v>92</v>
      </c>
      <c r="F220" s="7" t="n">
        <f aca="false">ROUND(D220*E220/100,0)</f>
        <v>239</v>
      </c>
      <c r="G220" s="7" t="str">
        <f aca="false">IF(OR(B220="ESP",B220="ARG"),"Finalist","Non-finalist")</f>
        <v>Non-finalist</v>
      </c>
    </row>
    <row r="221" customFormat="false" ht="15" hidden="false" customHeight="false" outlineLevel="0" collapsed="false">
      <c r="A221" s="7" t="s">
        <v>266</v>
      </c>
      <c r="B221" s="7" t="s">
        <v>265</v>
      </c>
      <c r="C221" s="7" t="s">
        <v>26</v>
      </c>
      <c r="D221" s="7" t="n">
        <v>246</v>
      </c>
      <c r="E221" s="7" t="n">
        <v>93</v>
      </c>
      <c r="F221" s="7" t="n">
        <f aca="false">ROUND(D221*E221/100,0)</f>
        <v>229</v>
      </c>
      <c r="G221" s="7" t="str">
        <f aca="false">IF(OR(B221="ESP",B221="ARG"),"Finalist","Non-finalist")</f>
        <v>Non-finalist</v>
      </c>
    </row>
    <row r="222" customFormat="false" ht="15" hidden="false" customHeight="false" outlineLevel="0" collapsed="false">
      <c r="A222" s="7" t="s">
        <v>267</v>
      </c>
      <c r="B222" s="7" t="s">
        <v>265</v>
      </c>
      <c r="C222" s="7" t="s">
        <v>24</v>
      </c>
      <c r="D222" s="7" t="n">
        <v>131</v>
      </c>
      <c r="E222" s="7" t="n">
        <v>92</v>
      </c>
      <c r="F222" s="7" t="n">
        <f aca="false">ROUND(D222*E222/100,0)</f>
        <v>121</v>
      </c>
      <c r="G222" s="7" t="str">
        <f aca="false">IF(OR(B222="ESP",B222="ARG"),"Finalist","Non-finalist")</f>
        <v>Non-finalist</v>
      </c>
    </row>
    <row r="223" customFormat="false" ht="15" hidden="false" customHeight="false" outlineLevel="0" collapsed="false">
      <c r="A223" s="7" t="s">
        <v>268</v>
      </c>
      <c r="B223" s="7" t="s">
        <v>265</v>
      </c>
      <c r="C223" s="7" t="s">
        <v>24</v>
      </c>
      <c r="D223" s="7" t="n">
        <v>271</v>
      </c>
      <c r="E223" s="7" t="n">
        <v>82</v>
      </c>
      <c r="F223" s="7" t="n">
        <f aca="false">ROUND(D223*E223/100,0)</f>
        <v>222</v>
      </c>
      <c r="G223" s="7" t="str">
        <f aca="false">IF(OR(B223="ESP",B223="ARG"),"Finalist","Non-finalist")</f>
        <v>Non-finalist</v>
      </c>
    </row>
    <row r="224" customFormat="false" ht="15" hidden="false" customHeight="false" outlineLevel="0" collapsed="false">
      <c r="A224" s="7" t="s">
        <v>269</v>
      </c>
      <c r="B224" s="7" t="s">
        <v>265</v>
      </c>
      <c r="C224" s="7" t="s">
        <v>24</v>
      </c>
      <c r="D224" s="7" t="n">
        <v>104</v>
      </c>
      <c r="E224" s="7" t="n">
        <v>83</v>
      </c>
      <c r="F224" s="7" t="n">
        <f aca="false">ROUND(D224*E224/100,0)</f>
        <v>86</v>
      </c>
      <c r="G224" s="7" t="str">
        <f aca="false">IF(OR(B224="ESP",B224="ARG"),"Finalist","Non-finalist")</f>
        <v>Non-finalist</v>
      </c>
    </row>
    <row r="225" customFormat="false" ht="15" hidden="false" customHeight="false" outlineLevel="0" collapsed="false">
      <c r="A225" s="7" t="s">
        <v>270</v>
      </c>
      <c r="B225" s="7" t="s">
        <v>265</v>
      </c>
      <c r="C225" s="7" t="s">
        <v>26</v>
      </c>
      <c r="D225" s="7" t="n">
        <v>375</v>
      </c>
      <c r="E225" s="7" t="n">
        <v>97</v>
      </c>
      <c r="F225" s="7" t="n">
        <f aca="false">ROUND(D225*E225/100,0)</f>
        <v>364</v>
      </c>
      <c r="G225" s="7" t="str">
        <f aca="false">IF(OR(B225="ESP",B225="ARG"),"Finalist","Non-finalist")</f>
        <v>Non-finalist</v>
      </c>
    </row>
    <row r="226" customFormat="false" ht="15" hidden="false" customHeight="false" outlineLevel="0" collapsed="false">
      <c r="A226" s="7" t="s">
        <v>271</v>
      </c>
      <c r="B226" s="7" t="s">
        <v>265</v>
      </c>
      <c r="C226" s="7" t="s">
        <v>26</v>
      </c>
      <c r="D226" s="7" t="n">
        <v>368</v>
      </c>
      <c r="E226" s="7" t="n">
        <v>91</v>
      </c>
      <c r="F226" s="7" t="n">
        <f aca="false">ROUND(D226*E226/100,0)</f>
        <v>335</v>
      </c>
      <c r="G226" s="7" t="str">
        <f aca="false">IF(OR(B226="ESP",B226="ARG"),"Finalist","Non-finalist")</f>
        <v>Non-finalist</v>
      </c>
    </row>
    <row r="227" customFormat="false" ht="15" hidden="false" customHeight="false" outlineLevel="0" collapsed="false">
      <c r="A227" s="7" t="s">
        <v>272</v>
      </c>
      <c r="B227" s="7" t="s">
        <v>265</v>
      </c>
      <c r="C227" s="7" t="s">
        <v>34</v>
      </c>
      <c r="D227" s="7" t="n">
        <v>117</v>
      </c>
      <c r="E227" s="7" t="n">
        <v>86</v>
      </c>
      <c r="F227" s="7" t="n">
        <f aca="false">ROUND(D227*E227/100,0)</f>
        <v>101</v>
      </c>
      <c r="G227" s="7" t="str">
        <f aca="false">IF(OR(B227="ESP",B227="ARG"),"Finalist","Non-finalist")</f>
        <v>Non-finalist</v>
      </c>
    </row>
    <row r="228" customFormat="false" ht="15" hidden="false" customHeight="false" outlineLevel="0" collapsed="false">
      <c r="A228" s="7" t="s">
        <v>273</v>
      </c>
      <c r="B228" s="7" t="s">
        <v>265</v>
      </c>
      <c r="C228" s="7" t="s">
        <v>24</v>
      </c>
      <c r="D228" s="7" t="n">
        <v>189</v>
      </c>
      <c r="E228" s="7" t="n">
        <v>85</v>
      </c>
      <c r="F228" s="7" t="n">
        <f aca="false">ROUND(D228*E228/100,0)</f>
        <v>161</v>
      </c>
      <c r="G228" s="7" t="str">
        <f aca="false">IF(OR(B228="ESP",B228="ARG"),"Finalist","Non-finalist")</f>
        <v>Non-finalist</v>
      </c>
    </row>
    <row r="229" customFormat="false" ht="15" hidden="false" customHeight="false" outlineLevel="0" collapsed="false">
      <c r="A229" s="7" t="s">
        <v>274</v>
      </c>
      <c r="B229" s="7" t="s">
        <v>265</v>
      </c>
      <c r="C229" s="7" t="s">
        <v>28</v>
      </c>
      <c r="D229" s="7" t="n">
        <v>129</v>
      </c>
      <c r="E229" s="7" t="n">
        <v>91</v>
      </c>
      <c r="F229" s="7" t="n">
        <f aca="false">ROUND(D229*E229/100,0)</f>
        <v>117</v>
      </c>
      <c r="G229" s="7" t="str">
        <f aca="false">IF(OR(B229="ESP",B229="ARG"),"Finalist","Non-finalist")</f>
        <v>Non-finalist</v>
      </c>
    </row>
    <row r="230" customFormat="false" ht="15" hidden="false" customHeight="false" outlineLevel="0" collapsed="false">
      <c r="A230" s="7" t="s">
        <v>275</v>
      </c>
      <c r="B230" s="7" t="s">
        <v>265</v>
      </c>
      <c r="C230" s="7" t="s">
        <v>26</v>
      </c>
      <c r="D230" s="7" t="n">
        <v>131</v>
      </c>
      <c r="E230" s="7" t="n">
        <v>88</v>
      </c>
      <c r="F230" s="7" t="n">
        <f aca="false">ROUND(D230*E230/100,0)</f>
        <v>115</v>
      </c>
      <c r="G230" s="7" t="str">
        <f aca="false">IF(OR(B230="ESP",B230="ARG"),"Finalist","Non-finalist")</f>
        <v>Non-finalist</v>
      </c>
    </row>
    <row r="231" customFormat="false" ht="15" hidden="false" customHeight="false" outlineLevel="0" collapsed="false">
      <c r="A231" s="7" t="s">
        <v>276</v>
      </c>
      <c r="B231" s="7" t="s">
        <v>265</v>
      </c>
      <c r="C231" s="7" t="s">
        <v>26</v>
      </c>
      <c r="D231" s="7" t="n">
        <v>123</v>
      </c>
      <c r="E231" s="7" t="n">
        <v>89</v>
      </c>
      <c r="F231" s="7" t="n">
        <f aca="false">ROUND(D231*E231/100,0)</f>
        <v>109</v>
      </c>
      <c r="G231" s="7" t="str">
        <f aca="false">IF(OR(B231="ESP",B231="ARG"),"Finalist","Non-finalist")</f>
        <v>Non-finalist</v>
      </c>
    </row>
    <row r="232" customFormat="false" ht="15" hidden="false" customHeight="false" outlineLevel="0" collapsed="false">
      <c r="A232" s="7" t="s">
        <v>277</v>
      </c>
      <c r="B232" s="7" t="s">
        <v>278</v>
      </c>
      <c r="C232" s="7" t="s">
        <v>26</v>
      </c>
      <c r="D232" s="7" t="n">
        <v>125</v>
      </c>
      <c r="E232" s="7" t="n">
        <v>87</v>
      </c>
      <c r="F232" s="7" t="n">
        <f aca="false">ROUND(D232*E232/100,0)</f>
        <v>109</v>
      </c>
      <c r="G232" s="7" t="str">
        <f aca="false">IF(OR(B232="ESP",B232="ARG"),"Finalist","Non-finalist")</f>
        <v>Non-finalist</v>
      </c>
    </row>
    <row r="233" customFormat="false" ht="15" hidden="false" customHeight="false" outlineLevel="0" collapsed="false">
      <c r="A233" s="7" t="s">
        <v>279</v>
      </c>
      <c r="B233" s="7" t="s">
        <v>278</v>
      </c>
      <c r="C233" s="7" t="s">
        <v>26</v>
      </c>
      <c r="D233" s="7" t="n">
        <v>182</v>
      </c>
      <c r="E233" s="7" t="n">
        <v>86</v>
      </c>
      <c r="F233" s="7" t="n">
        <f aca="false">ROUND(D233*E233/100,0)</f>
        <v>157</v>
      </c>
      <c r="G233" s="7" t="str">
        <f aca="false">IF(OR(B233="ESP",B233="ARG"),"Finalist","Non-finalist")</f>
        <v>Non-finalist</v>
      </c>
    </row>
    <row r="234" customFormat="false" ht="15" hidden="false" customHeight="false" outlineLevel="0" collapsed="false">
      <c r="A234" s="7" t="s">
        <v>280</v>
      </c>
      <c r="B234" s="7" t="s">
        <v>278</v>
      </c>
      <c r="C234" s="7" t="s">
        <v>26</v>
      </c>
      <c r="D234" s="7" t="n">
        <v>115</v>
      </c>
      <c r="E234" s="7" t="n">
        <v>83</v>
      </c>
      <c r="F234" s="7" t="n">
        <f aca="false">ROUND(D234*E234/100,0)</f>
        <v>95</v>
      </c>
      <c r="G234" s="7" t="str">
        <f aca="false">IF(OR(B234="ESP",B234="ARG"),"Finalist","Non-finalist")</f>
        <v>Non-finalist</v>
      </c>
    </row>
    <row r="235" customFormat="false" ht="15" hidden="false" customHeight="false" outlineLevel="0" collapsed="false">
      <c r="A235" s="7" t="s">
        <v>281</v>
      </c>
      <c r="B235" s="7" t="s">
        <v>278</v>
      </c>
      <c r="C235" s="7" t="s">
        <v>26</v>
      </c>
      <c r="D235" s="7" t="n">
        <v>120</v>
      </c>
      <c r="E235" s="7" t="n">
        <v>88</v>
      </c>
      <c r="F235" s="7" t="n">
        <f aca="false">ROUND(D235*E235/100,0)</f>
        <v>106</v>
      </c>
      <c r="G235" s="7" t="str">
        <f aca="false">IF(OR(B235="ESP",B235="ARG"),"Finalist","Non-finalist")</f>
        <v>Non-finalist</v>
      </c>
    </row>
    <row r="236" customFormat="false" ht="15" hidden="false" customHeight="false" outlineLevel="0" collapsed="false">
      <c r="A236" s="7" t="s">
        <v>282</v>
      </c>
      <c r="B236" s="7" t="s">
        <v>278</v>
      </c>
      <c r="C236" s="7" t="s">
        <v>24</v>
      </c>
      <c r="D236" s="7" t="n">
        <v>93</v>
      </c>
      <c r="E236" s="7" t="n">
        <v>95</v>
      </c>
      <c r="F236" s="7" t="n">
        <f aca="false">ROUND(D236*E236/100,0)</f>
        <v>88</v>
      </c>
      <c r="G236" s="7" t="str">
        <f aca="false">IF(OR(B236="ESP",B236="ARG"),"Finalist","Non-finalist")</f>
        <v>Non-finalist</v>
      </c>
    </row>
    <row r="237" customFormat="false" ht="15" hidden="false" customHeight="false" outlineLevel="0" collapsed="false">
      <c r="A237" s="7" t="s">
        <v>283</v>
      </c>
      <c r="B237" s="7" t="s">
        <v>278</v>
      </c>
      <c r="C237" s="7" t="s">
        <v>26</v>
      </c>
      <c r="D237" s="7" t="n">
        <v>91</v>
      </c>
      <c r="E237" s="7" t="n">
        <v>82</v>
      </c>
      <c r="F237" s="7" t="n">
        <f aca="false">ROUND(D237*E237/100,0)</f>
        <v>75</v>
      </c>
      <c r="G237" s="7" t="str">
        <f aca="false">IF(OR(B237="ESP",B237="ARG"),"Finalist","Non-finalist")</f>
        <v>Non-finalist</v>
      </c>
    </row>
    <row r="238" customFormat="false" ht="15" hidden="false" customHeight="false" outlineLevel="0" collapsed="false">
      <c r="A238" s="7" t="s">
        <v>284</v>
      </c>
      <c r="B238" s="7" t="s">
        <v>278</v>
      </c>
      <c r="C238" s="7" t="s">
        <v>24</v>
      </c>
      <c r="D238" s="7" t="n">
        <v>152</v>
      </c>
      <c r="E238" s="7" t="n">
        <v>88</v>
      </c>
      <c r="F238" s="7" t="n">
        <f aca="false">ROUND(D238*E238/100,0)</f>
        <v>134</v>
      </c>
      <c r="G238" s="7" t="str">
        <f aca="false">IF(OR(B238="ESP",B238="ARG"),"Finalist","Non-finalist")</f>
        <v>Non-finalist</v>
      </c>
    </row>
    <row r="239" customFormat="false" ht="15" hidden="false" customHeight="false" outlineLevel="0" collapsed="false">
      <c r="A239" s="7" t="s">
        <v>285</v>
      </c>
      <c r="B239" s="7" t="s">
        <v>286</v>
      </c>
      <c r="C239" s="7" t="s">
        <v>24</v>
      </c>
      <c r="D239" s="7" t="n">
        <v>116</v>
      </c>
      <c r="E239" s="7" t="n">
        <v>88</v>
      </c>
      <c r="F239" s="7" t="n">
        <f aca="false">ROUND(D239*E239/100,0)</f>
        <v>102</v>
      </c>
      <c r="G239" s="7" t="str">
        <f aca="false">IF(OR(B239="ESP",B239="ARG"),"Finalist","Non-finalist")</f>
        <v>Non-finalist</v>
      </c>
    </row>
    <row r="240" customFormat="false" ht="15" hidden="false" customHeight="false" outlineLevel="0" collapsed="false">
      <c r="A240" s="7" t="s">
        <v>287</v>
      </c>
      <c r="B240" s="7" t="s">
        <v>286</v>
      </c>
      <c r="C240" s="7" t="s">
        <v>26</v>
      </c>
      <c r="D240" s="7" t="n">
        <v>151</v>
      </c>
      <c r="E240" s="7" t="n">
        <v>97</v>
      </c>
      <c r="F240" s="7" t="n">
        <f aca="false">ROUND(D240*E240/100,0)</f>
        <v>146</v>
      </c>
      <c r="G240" s="7" t="str">
        <f aca="false">IF(OR(B240="ESP",B240="ARG"),"Finalist","Non-finalist")</f>
        <v>Non-finalist</v>
      </c>
    </row>
    <row r="241" customFormat="false" ht="15" hidden="false" customHeight="false" outlineLevel="0" collapsed="false">
      <c r="A241" s="7" t="s">
        <v>288</v>
      </c>
      <c r="B241" s="7" t="s">
        <v>286</v>
      </c>
      <c r="C241" s="7" t="s">
        <v>24</v>
      </c>
      <c r="D241" s="7" t="n">
        <v>130</v>
      </c>
      <c r="E241" s="7" t="n">
        <v>86</v>
      </c>
      <c r="F241" s="7" t="n">
        <f aca="false">ROUND(D241*E241/100,0)</f>
        <v>112</v>
      </c>
      <c r="G241" s="7" t="str">
        <f aca="false">IF(OR(B241="ESP",B241="ARG"),"Finalist","Non-finalist")</f>
        <v>Non-finalist</v>
      </c>
    </row>
    <row r="242" customFormat="false" ht="15" hidden="false" customHeight="false" outlineLevel="0" collapsed="false">
      <c r="A242" s="7" t="s">
        <v>289</v>
      </c>
      <c r="B242" s="7" t="s">
        <v>286</v>
      </c>
      <c r="C242" s="7" t="s">
        <v>28</v>
      </c>
      <c r="D242" s="7" t="n">
        <v>105</v>
      </c>
      <c r="E242" s="7" t="n">
        <v>64</v>
      </c>
      <c r="F242" s="7" t="n">
        <f aca="false">ROUND(D242*E242/100,0)</f>
        <v>67</v>
      </c>
      <c r="G242" s="7" t="str">
        <f aca="false">IF(OR(B242="ESP",B242="ARG"),"Finalist","Non-finalist")</f>
        <v>Non-finalist</v>
      </c>
    </row>
    <row r="243" customFormat="false" ht="15" hidden="false" customHeight="false" outlineLevel="0" collapsed="false">
      <c r="A243" s="7" t="s">
        <v>290</v>
      </c>
      <c r="B243" s="7" t="s">
        <v>286</v>
      </c>
      <c r="C243" s="7" t="s">
        <v>26</v>
      </c>
      <c r="D243" s="7" t="n">
        <v>111</v>
      </c>
      <c r="E243" s="7" t="n">
        <v>84</v>
      </c>
      <c r="F243" s="7" t="n">
        <f aca="false">ROUND(D243*E243/100,0)</f>
        <v>93</v>
      </c>
      <c r="G243" s="7" t="str">
        <f aca="false">IF(OR(B243="ESP",B243="ARG"),"Finalist","Non-finalist")</f>
        <v>Non-finalist</v>
      </c>
    </row>
    <row r="244" customFormat="false" ht="15" hidden="false" customHeight="false" outlineLevel="0" collapsed="false">
      <c r="A244" s="7" t="s">
        <v>291</v>
      </c>
      <c r="B244" s="7" t="s">
        <v>286</v>
      </c>
      <c r="C244" s="7" t="s">
        <v>26</v>
      </c>
      <c r="D244" s="7" t="n">
        <v>136</v>
      </c>
      <c r="E244" s="7" t="n">
        <v>89</v>
      </c>
      <c r="F244" s="7" t="n">
        <f aca="false">ROUND(D244*E244/100,0)</f>
        <v>121</v>
      </c>
      <c r="G244" s="7" t="str">
        <f aca="false">IF(OR(B244="ESP",B244="ARG"),"Finalist","Non-finalist")</f>
        <v>Non-finalist</v>
      </c>
    </row>
    <row r="245" customFormat="false" ht="15" hidden="false" customHeight="false" outlineLevel="0" collapsed="false">
      <c r="A245" s="7" t="s">
        <v>292</v>
      </c>
      <c r="B245" s="7" t="s">
        <v>293</v>
      </c>
      <c r="C245" s="7" t="s">
        <v>26</v>
      </c>
      <c r="D245" s="7" t="n">
        <v>129</v>
      </c>
      <c r="E245" s="7" t="n">
        <v>88</v>
      </c>
      <c r="F245" s="7" t="n">
        <f aca="false">ROUND(D245*E245/100,0)</f>
        <v>114</v>
      </c>
      <c r="G245" s="7" t="str">
        <f aca="false">IF(OR(B245="ESP",B245="ARG"),"Finalist","Non-finalist")</f>
        <v>Non-finalist</v>
      </c>
    </row>
    <row r="246" customFormat="false" ht="15" hidden="false" customHeight="false" outlineLevel="0" collapsed="false">
      <c r="A246" s="7" t="s">
        <v>294</v>
      </c>
      <c r="B246" s="7" t="s">
        <v>293</v>
      </c>
      <c r="C246" s="7" t="s">
        <v>28</v>
      </c>
      <c r="D246" s="7" t="n">
        <v>93</v>
      </c>
      <c r="E246" s="7" t="n">
        <v>67</v>
      </c>
      <c r="F246" s="7" t="n">
        <f aca="false">ROUND(D246*E246/100,0)</f>
        <v>62</v>
      </c>
      <c r="G246" s="7" t="str">
        <f aca="false">IF(OR(B246="ESP",B246="ARG"),"Finalist","Non-finalist")</f>
        <v>Non-finalist</v>
      </c>
    </row>
    <row r="247" customFormat="false" ht="15" hidden="false" customHeight="false" outlineLevel="0" collapsed="false">
      <c r="A247" s="7" t="s">
        <v>295</v>
      </c>
      <c r="B247" s="7" t="s">
        <v>293</v>
      </c>
      <c r="C247" s="7" t="s">
        <v>26</v>
      </c>
      <c r="D247" s="7" t="n">
        <v>98</v>
      </c>
      <c r="E247" s="7" t="n">
        <v>69</v>
      </c>
      <c r="F247" s="7" t="n">
        <f aca="false">ROUND(D247*E247/100,0)</f>
        <v>68</v>
      </c>
      <c r="G247" s="7" t="str">
        <f aca="false">IF(OR(B247="ESP",B247="ARG"),"Finalist","Non-finalist")</f>
        <v>Non-finalist</v>
      </c>
    </row>
    <row r="248" customFormat="false" ht="15" hidden="false" customHeight="false" outlineLevel="0" collapsed="false">
      <c r="A248" s="7" t="s">
        <v>296</v>
      </c>
      <c r="B248" s="7" t="s">
        <v>293</v>
      </c>
      <c r="C248" s="7" t="s">
        <v>24</v>
      </c>
      <c r="D248" s="7" t="n">
        <v>99</v>
      </c>
      <c r="E248" s="7" t="n">
        <v>79</v>
      </c>
      <c r="F248" s="7" t="n">
        <f aca="false">ROUND(D248*E248/100,0)</f>
        <v>78</v>
      </c>
      <c r="G248" s="7" t="str">
        <f aca="false">IF(OR(B248="ESP",B248="ARG"),"Finalist","Non-finalist")</f>
        <v>Non-finalist</v>
      </c>
    </row>
    <row r="249" customFormat="false" ht="15" hidden="false" customHeight="false" outlineLevel="0" collapsed="false">
      <c r="A249" s="7" t="s">
        <v>297</v>
      </c>
      <c r="B249" s="7" t="s">
        <v>293</v>
      </c>
      <c r="C249" s="7" t="s">
        <v>26</v>
      </c>
      <c r="D249" s="7" t="n">
        <v>141</v>
      </c>
      <c r="E249" s="7" t="n">
        <v>84</v>
      </c>
      <c r="F249" s="7" t="n">
        <f aca="false">ROUND(D249*E249/100,0)</f>
        <v>118</v>
      </c>
      <c r="G249" s="7" t="str">
        <f aca="false">IF(OR(B249="ESP",B249="ARG"),"Finalist","Non-finalist")</f>
        <v>Non-finalist</v>
      </c>
    </row>
    <row r="250" customFormat="false" ht="15" hidden="false" customHeight="false" outlineLevel="0" collapsed="false">
      <c r="A250" s="7" t="s">
        <v>298</v>
      </c>
      <c r="B250" s="7" t="s">
        <v>299</v>
      </c>
      <c r="C250" s="7" t="s">
        <v>26</v>
      </c>
      <c r="D250" s="7" t="n">
        <v>148</v>
      </c>
      <c r="E250" s="7" t="n">
        <v>85</v>
      </c>
      <c r="F250" s="7" t="n">
        <f aca="false">ROUND(D250*E250/100,0)</f>
        <v>126</v>
      </c>
      <c r="G250" s="7" t="str">
        <f aca="false">IF(OR(B250="ESP",B250="ARG"),"Finalist","Non-finalist")</f>
        <v>Non-finalist</v>
      </c>
    </row>
    <row r="251" customFormat="false" ht="15" hidden="false" customHeight="false" outlineLevel="0" collapsed="false">
      <c r="A251" s="7" t="s">
        <v>300</v>
      </c>
      <c r="B251" s="7" t="s">
        <v>299</v>
      </c>
      <c r="C251" s="7" t="s">
        <v>24</v>
      </c>
      <c r="D251" s="7" t="n">
        <v>125</v>
      </c>
      <c r="E251" s="7" t="n">
        <v>79</v>
      </c>
      <c r="F251" s="7" t="n">
        <f aca="false">ROUND(D251*E251/100,0)</f>
        <v>99</v>
      </c>
      <c r="G251" s="7" t="str">
        <f aca="false">IF(OR(B251="ESP",B251="ARG"),"Finalist","Non-finalist")</f>
        <v>Non-finalist</v>
      </c>
    </row>
    <row r="252" customFormat="false" ht="15" hidden="false" customHeight="false" outlineLevel="0" collapsed="false">
      <c r="A252" s="7" t="s">
        <v>301</v>
      </c>
      <c r="B252" s="7" t="s">
        <v>299</v>
      </c>
      <c r="C252" s="7" t="s">
        <v>26</v>
      </c>
      <c r="D252" s="7" t="n">
        <v>141</v>
      </c>
      <c r="E252" s="7" t="n">
        <v>82</v>
      </c>
      <c r="F252" s="7" t="n">
        <f aca="false">ROUND(D252*E252/100,0)</f>
        <v>116</v>
      </c>
      <c r="G252" s="7" t="str">
        <f aca="false">IF(OR(B252="ESP",B252="ARG"),"Finalist","Non-finalist")</f>
        <v>Non-finalist</v>
      </c>
    </row>
    <row r="253" customFormat="false" ht="15" hidden="false" customHeight="false" outlineLevel="0" collapsed="false">
      <c r="A253" s="7" t="s">
        <v>302</v>
      </c>
      <c r="B253" s="7" t="s">
        <v>299</v>
      </c>
      <c r="C253" s="7" t="s">
        <v>24</v>
      </c>
      <c r="D253" s="7" t="n">
        <v>128</v>
      </c>
      <c r="E253" s="7" t="n">
        <v>92</v>
      </c>
      <c r="F253" s="7" t="n">
        <f aca="false">ROUND(D253*E253/100,0)</f>
        <v>118</v>
      </c>
      <c r="G253" s="7" t="str">
        <f aca="false">IF(OR(B253="ESP",B253="ARG"),"Finalist","Non-finalist")</f>
        <v>Non-finalist</v>
      </c>
    </row>
    <row r="254" customFormat="false" ht="15" hidden="false" customHeight="false" outlineLevel="0" collapsed="false">
      <c r="A254" s="7" t="s">
        <v>303</v>
      </c>
      <c r="B254" s="7" t="s">
        <v>304</v>
      </c>
      <c r="C254" s="7" t="s">
        <v>26</v>
      </c>
      <c r="D254" s="7" t="n">
        <v>97</v>
      </c>
      <c r="E254" s="7" t="n">
        <v>72</v>
      </c>
      <c r="F254" s="7" t="n">
        <f aca="false">ROUND(D254*E254/100,0)</f>
        <v>70</v>
      </c>
      <c r="G254" s="7" t="str">
        <f aca="false">IF(OR(B254="ESP",B254="ARG"),"Finalist","Non-finalist")</f>
        <v>Non-finalist</v>
      </c>
    </row>
    <row r="255" customFormat="false" ht="15" hidden="false" customHeight="false" outlineLevel="0" collapsed="false">
      <c r="A255" s="7" t="s">
        <v>305</v>
      </c>
      <c r="B255" s="7" t="s">
        <v>304</v>
      </c>
      <c r="C255" s="7" t="s">
        <v>24</v>
      </c>
      <c r="D255" s="7" t="n">
        <v>87</v>
      </c>
      <c r="E255" s="7" t="n">
        <v>68</v>
      </c>
      <c r="F255" s="7" t="n">
        <f aca="false">ROUND(D255*E255/100,0)</f>
        <v>59</v>
      </c>
      <c r="G255" s="7" t="str">
        <f aca="false">IF(OR(B255="ESP",B255="ARG"),"Finalist","Non-finalist")</f>
        <v>Non-finalist</v>
      </c>
    </row>
    <row r="256" customFormat="false" ht="15" hidden="false" customHeight="false" outlineLevel="0" collapsed="false">
      <c r="A256" s="7" t="s">
        <v>306</v>
      </c>
      <c r="B256" s="7" t="s">
        <v>304</v>
      </c>
      <c r="C256" s="7" t="s">
        <v>24</v>
      </c>
      <c r="D256" s="7" t="n">
        <v>111</v>
      </c>
      <c r="E256" s="7" t="n">
        <v>76</v>
      </c>
      <c r="F256" s="7" t="n">
        <f aca="false">ROUND(D256*E256/100,0)</f>
        <v>84</v>
      </c>
      <c r="G256" s="7" t="str">
        <f aca="false">IF(OR(B256="ESP",B256="ARG"),"Finalist","Non-finalist")</f>
        <v>Non-finalist</v>
      </c>
    </row>
    <row r="257" customFormat="false" ht="15" hidden="false" customHeight="false" outlineLevel="0" collapsed="false">
      <c r="A257" s="7" t="s">
        <v>307</v>
      </c>
      <c r="B257" s="7" t="s">
        <v>304</v>
      </c>
      <c r="C257" s="7" t="s">
        <v>26</v>
      </c>
      <c r="D257" s="7" t="n">
        <v>106</v>
      </c>
      <c r="E257" s="7" t="n">
        <v>89</v>
      </c>
      <c r="F257" s="7" t="n">
        <f aca="false">ROUND(D257*E257/100,0)</f>
        <v>94</v>
      </c>
      <c r="G257" s="7" t="str">
        <f aca="false">IF(OR(B257="ESP",B257="ARG"),"Finalist","Non-finalist")</f>
        <v>Non-finalist</v>
      </c>
    </row>
    <row r="258" customFormat="false" ht="15" hidden="false" customHeight="false" outlineLevel="0" collapsed="false">
      <c r="A258" s="7" t="s">
        <v>308</v>
      </c>
      <c r="B258" s="7" t="s">
        <v>309</v>
      </c>
      <c r="C258" s="7" t="s">
        <v>24</v>
      </c>
      <c r="D258" s="7" t="n">
        <v>160</v>
      </c>
      <c r="E258" s="7" t="n">
        <v>91</v>
      </c>
      <c r="F258" s="7" t="n">
        <f aca="false">ROUND(D258*E258/100,0)</f>
        <v>146</v>
      </c>
      <c r="G258" s="7" t="str">
        <f aca="false">IF(OR(B258="ESP",B258="ARG"),"Finalist","Non-finalist")</f>
        <v>Non-finalist</v>
      </c>
    </row>
    <row r="259" customFormat="false" ht="15" hidden="false" customHeight="false" outlineLevel="0" collapsed="false">
      <c r="A259" s="7" t="s">
        <v>310</v>
      </c>
      <c r="B259" s="7" t="s">
        <v>309</v>
      </c>
      <c r="C259" s="7" t="s">
        <v>24</v>
      </c>
      <c r="D259" s="7" t="n">
        <v>200</v>
      </c>
      <c r="E259" s="7" t="n">
        <v>85</v>
      </c>
      <c r="F259" s="7" t="n">
        <f aca="false">ROUND(D259*E259/100,0)</f>
        <v>170</v>
      </c>
      <c r="G259" s="7" t="str">
        <f aca="false">IF(OR(B259="ESP",B259="ARG"),"Finalist","Non-finalist")</f>
        <v>Non-finalist</v>
      </c>
    </row>
    <row r="260" customFormat="false" ht="15" hidden="false" customHeight="false" outlineLevel="0" collapsed="false">
      <c r="A260" s="7" t="s">
        <v>311</v>
      </c>
      <c r="B260" s="7" t="s">
        <v>309</v>
      </c>
      <c r="C260" s="7" t="s">
        <v>26</v>
      </c>
      <c r="D260" s="7" t="n">
        <v>199</v>
      </c>
      <c r="E260" s="7" t="n">
        <v>89</v>
      </c>
      <c r="F260" s="7" t="n">
        <f aca="false">ROUND(D260*E260/100,0)</f>
        <v>177</v>
      </c>
      <c r="G260" s="7" t="str">
        <f aca="false">IF(OR(B260="ESP",B260="ARG"),"Finalist","Non-finalist")</f>
        <v>Non-finalist</v>
      </c>
    </row>
    <row r="261" customFormat="false" ht="15" hidden="false" customHeight="false" outlineLevel="0" collapsed="false">
      <c r="A261" s="7" t="s">
        <v>312</v>
      </c>
      <c r="B261" s="7" t="s">
        <v>309</v>
      </c>
      <c r="C261" s="7" t="s">
        <v>24</v>
      </c>
      <c r="D261" s="7" t="n">
        <v>85</v>
      </c>
      <c r="E261" s="7" t="n">
        <v>76</v>
      </c>
      <c r="F261" s="7" t="n">
        <f aca="false">ROUND(D261*E261/100,0)</f>
        <v>65</v>
      </c>
      <c r="G261" s="7" t="str">
        <f aca="false">IF(OR(B261="ESP",B261="ARG"),"Finalist","Non-finalist")</f>
        <v>Non-finalist</v>
      </c>
    </row>
    <row r="262" customFormat="false" ht="15" hidden="false" customHeight="false" outlineLevel="0" collapsed="false">
      <c r="A262" s="7" t="s">
        <v>313</v>
      </c>
      <c r="B262" s="7" t="s">
        <v>309</v>
      </c>
      <c r="C262" s="7" t="s">
        <v>24</v>
      </c>
      <c r="D262" s="7" t="n">
        <v>131</v>
      </c>
      <c r="E262" s="7" t="n">
        <v>95</v>
      </c>
      <c r="F262" s="7" t="n">
        <f aca="false">ROUND(D262*E262/100,0)</f>
        <v>124</v>
      </c>
      <c r="G262" s="7" t="str">
        <f aca="false">IF(OR(B262="ESP",B262="ARG"),"Finalist","Non-finalist")</f>
        <v>Non-finalist</v>
      </c>
    </row>
    <row r="263" customFormat="false" ht="15" hidden="false" customHeight="false" outlineLevel="0" collapsed="false">
      <c r="A263" s="7" t="s">
        <v>314</v>
      </c>
      <c r="B263" s="7" t="s">
        <v>309</v>
      </c>
      <c r="C263" s="7" t="s">
        <v>24</v>
      </c>
      <c r="D263" s="7" t="n">
        <v>117</v>
      </c>
      <c r="E263" s="7" t="n">
        <v>85</v>
      </c>
      <c r="F263" s="7" t="n">
        <f aca="false">ROUND(D263*E263/100,0)</f>
        <v>99</v>
      </c>
      <c r="G263" s="7" t="str">
        <f aca="false">IF(OR(B263="ESP",B263="ARG"),"Finalist","Non-finalist")</f>
        <v>Non-finalist</v>
      </c>
    </row>
    <row r="264" customFormat="false" ht="15" hidden="false" customHeight="false" outlineLevel="0" collapsed="false">
      <c r="A264" s="7" t="s">
        <v>315</v>
      </c>
      <c r="B264" s="7" t="s">
        <v>309</v>
      </c>
      <c r="C264" s="7" t="s">
        <v>26</v>
      </c>
      <c r="D264" s="7" t="n">
        <v>110</v>
      </c>
      <c r="E264" s="7" t="n">
        <v>97</v>
      </c>
      <c r="F264" s="7" t="n">
        <f aca="false">ROUND(D264*E264/100,0)</f>
        <v>107</v>
      </c>
      <c r="G264" s="7" t="str">
        <f aca="false">IF(OR(B264="ESP",B264="ARG"),"Finalist","Non-finalist")</f>
        <v>Non-finalist</v>
      </c>
    </row>
    <row r="265" customFormat="false" ht="15" hidden="false" customHeight="false" outlineLevel="0" collapsed="false">
      <c r="A265" s="7" t="s">
        <v>316</v>
      </c>
      <c r="B265" s="7" t="s">
        <v>309</v>
      </c>
      <c r="C265" s="7" t="s">
        <v>24</v>
      </c>
      <c r="D265" s="7" t="n">
        <v>105</v>
      </c>
      <c r="E265" s="7" t="n">
        <v>85</v>
      </c>
      <c r="F265" s="7" t="n">
        <f aca="false">ROUND(D265*E265/100,0)</f>
        <v>89</v>
      </c>
      <c r="G265" s="7" t="str">
        <f aca="false">IF(OR(B265="ESP",B265="ARG"),"Finalist","Non-finalist")</f>
        <v>Non-finalist</v>
      </c>
    </row>
    <row r="266" customFormat="false" ht="15" hidden="false" customHeight="false" outlineLevel="0" collapsed="false">
      <c r="A266" s="7" t="s">
        <v>317</v>
      </c>
      <c r="B266" s="7" t="s">
        <v>309</v>
      </c>
      <c r="C266" s="7" t="s">
        <v>26</v>
      </c>
      <c r="D266" s="7" t="n">
        <v>127</v>
      </c>
      <c r="E266" s="7" t="n">
        <v>96</v>
      </c>
      <c r="F266" s="7" t="n">
        <f aca="false">ROUND(D266*E266/100,0)</f>
        <v>122</v>
      </c>
      <c r="G266" s="7" t="str">
        <f aca="false">IF(OR(B266="ESP",B266="ARG"),"Finalist","Non-finalist")</f>
        <v>Non-finalist</v>
      </c>
    </row>
    <row r="267" customFormat="false" ht="15" hidden="false" customHeight="false" outlineLevel="0" collapsed="false">
      <c r="A267" s="7" t="s">
        <v>318</v>
      </c>
      <c r="B267" s="7" t="s">
        <v>309</v>
      </c>
      <c r="C267" s="7" t="s">
        <v>26</v>
      </c>
      <c r="D267" s="7" t="n">
        <v>127</v>
      </c>
      <c r="E267" s="7" t="n">
        <v>86</v>
      </c>
      <c r="F267" s="7" t="n">
        <f aca="false">ROUND(D267*E267/100,0)</f>
        <v>109</v>
      </c>
      <c r="G267" s="7" t="str">
        <f aca="false">IF(OR(B267="ESP",B267="ARG"),"Finalist","Non-finalist")</f>
        <v>Non-finalist</v>
      </c>
    </row>
    <row r="268" customFormat="false" ht="15" hidden="false" customHeight="false" outlineLevel="0" collapsed="false">
      <c r="A268" s="7" t="s">
        <v>319</v>
      </c>
      <c r="B268" s="7" t="s">
        <v>309</v>
      </c>
      <c r="C268" s="7" t="s">
        <v>28</v>
      </c>
      <c r="D268" s="7" t="n">
        <v>109</v>
      </c>
      <c r="E268" s="7" t="n">
        <v>70</v>
      </c>
      <c r="F268" s="7" t="n">
        <f aca="false">ROUND(D268*E268/100,0)</f>
        <v>76</v>
      </c>
      <c r="G268" s="7" t="str">
        <f aca="false">IF(OR(B268="ESP",B268="ARG"),"Finalist","Non-finalist")</f>
        <v>Non-finalist</v>
      </c>
    </row>
    <row r="269" customFormat="false" ht="15" hidden="false" customHeight="false" outlineLevel="0" collapsed="false">
      <c r="A269" s="7" t="s">
        <v>320</v>
      </c>
      <c r="B269" s="7" t="s">
        <v>321</v>
      </c>
      <c r="C269" s="7" t="s">
        <v>24</v>
      </c>
      <c r="D269" s="7" t="n">
        <v>218</v>
      </c>
      <c r="E269" s="7" t="n">
        <v>89</v>
      </c>
      <c r="F269" s="7" t="n">
        <f aca="false">ROUND(D269*E269/100,0)</f>
        <v>194</v>
      </c>
      <c r="G269" s="7" t="str">
        <f aca="false">IF(OR(B269="ESP",B269="ARG"),"Finalist","Non-finalist")</f>
        <v>Non-finalist</v>
      </c>
    </row>
    <row r="270" customFormat="false" ht="15" hidden="false" customHeight="false" outlineLevel="0" collapsed="false">
      <c r="A270" s="7" t="s">
        <v>322</v>
      </c>
      <c r="B270" s="7" t="s">
        <v>321</v>
      </c>
      <c r="C270" s="7" t="s">
        <v>26</v>
      </c>
      <c r="D270" s="7" t="n">
        <v>226</v>
      </c>
      <c r="E270" s="7" t="n">
        <v>98</v>
      </c>
      <c r="F270" s="7" t="n">
        <f aca="false">ROUND(D270*E270/100,0)</f>
        <v>221</v>
      </c>
      <c r="G270" s="7" t="str">
        <f aca="false">IF(OR(B270="ESP",B270="ARG"),"Finalist","Non-finalist")</f>
        <v>Non-finalist</v>
      </c>
    </row>
    <row r="271" customFormat="false" ht="15" hidden="false" customHeight="false" outlineLevel="0" collapsed="false">
      <c r="A271" s="7" t="s">
        <v>323</v>
      </c>
      <c r="B271" s="7" t="s">
        <v>321</v>
      </c>
      <c r="C271" s="7" t="s">
        <v>28</v>
      </c>
      <c r="D271" s="7" t="n">
        <v>116</v>
      </c>
      <c r="E271" s="7" t="n">
        <v>73</v>
      </c>
      <c r="F271" s="7" t="n">
        <f aca="false">ROUND(D271*E271/100,0)</f>
        <v>85</v>
      </c>
      <c r="G271" s="7" t="str">
        <f aca="false">IF(OR(B271="ESP",B271="ARG"),"Finalist","Non-finalist")</f>
        <v>Non-finalist</v>
      </c>
    </row>
    <row r="272" customFormat="false" ht="15" hidden="false" customHeight="false" outlineLevel="0" collapsed="false">
      <c r="A272" s="7" t="s">
        <v>324</v>
      </c>
      <c r="B272" s="7" t="s">
        <v>321</v>
      </c>
      <c r="C272" s="7" t="s">
        <v>24</v>
      </c>
      <c r="D272" s="7" t="n">
        <v>236</v>
      </c>
      <c r="E272" s="7" t="n">
        <v>92</v>
      </c>
      <c r="F272" s="7" t="n">
        <f aca="false">ROUND(D272*E272/100,0)</f>
        <v>217</v>
      </c>
      <c r="G272" s="7" t="str">
        <f aca="false">IF(OR(B272="ESP",B272="ARG"),"Finalist","Non-finalist")</f>
        <v>Non-finalist</v>
      </c>
    </row>
    <row r="273" customFormat="false" ht="15" hidden="false" customHeight="false" outlineLevel="0" collapsed="false">
      <c r="A273" s="7" t="s">
        <v>325</v>
      </c>
      <c r="B273" s="7" t="s">
        <v>321</v>
      </c>
      <c r="C273" s="7" t="s">
        <v>26</v>
      </c>
      <c r="D273" s="7" t="n">
        <v>200</v>
      </c>
      <c r="E273" s="7" t="n">
        <v>92</v>
      </c>
      <c r="F273" s="7" t="n">
        <f aca="false">ROUND(D273*E273/100,0)</f>
        <v>184</v>
      </c>
      <c r="G273" s="7" t="str">
        <f aca="false">IF(OR(B273="ESP",B273="ARG"),"Finalist","Non-finalist")</f>
        <v>Non-finalist</v>
      </c>
    </row>
    <row r="274" customFormat="false" ht="15" hidden="false" customHeight="false" outlineLevel="0" collapsed="false">
      <c r="A274" s="7" t="s">
        <v>326</v>
      </c>
      <c r="B274" s="7" t="s">
        <v>321</v>
      </c>
      <c r="C274" s="7" t="s">
        <v>24</v>
      </c>
      <c r="D274" s="7" t="n">
        <v>159</v>
      </c>
      <c r="E274" s="7" t="n">
        <v>88</v>
      </c>
      <c r="F274" s="7" t="n">
        <f aca="false">ROUND(D274*E274/100,0)</f>
        <v>140</v>
      </c>
      <c r="G274" s="7" t="str">
        <f aca="false">IF(OR(B274="ESP",B274="ARG"),"Finalist","Non-finalist")</f>
        <v>Non-finalist</v>
      </c>
    </row>
    <row r="275" customFormat="false" ht="15" hidden="false" customHeight="false" outlineLevel="0" collapsed="false">
      <c r="A275" s="7" t="s">
        <v>327</v>
      </c>
      <c r="B275" s="7" t="s">
        <v>321</v>
      </c>
      <c r="C275" s="7" t="s">
        <v>24</v>
      </c>
      <c r="D275" s="7" t="n">
        <v>152</v>
      </c>
      <c r="E275" s="7" t="n">
        <v>89</v>
      </c>
      <c r="F275" s="7" t="n">
        <f aca="false">ROUND(D275*E275/100,0)</f>
        <v>135</v>
      </c>
      <c r="G275" s="7" t="str">
        <f aca="false">IF(OR(B275="ESP",B275="ARG"),"Finalist","Non-finalist")</f>
        <v>Non-finalist</v>
      </c>
    </row>
    <row r="276" customFormat="false" ht="15" hidden="false" customHeight="false" outlineLevel="0" collapsed="false">
      <c r="A276" s="7" t="s">
        <v>328</v>
      </c>
      <c r="B276" s="7" t="s">
        <v>321</v>
      </c>
      <c r="C276" s="7" t="s">
        <v>26</v>
      </c>
      <c r="D276" s="7" t="n">
        <v>123</v>
      </c>
      <c r="E276" s="7" t="n">
        <v>92</v>
      </c>
      <c r="F276" s="7" t="n">
        <f aca="false">ROUND(D276*E276/100,0)</f>
        <v>113</v>
      </c>
      <c r="G276" s="7" t="str">
        <f aca="false">IF(OR(B276="ESP",B276="ARG"),"Finalist","Non-finalist")</f>
        <v>Non-finalist</v>
      </c>
    </row>
    <row r="277" customFormat="false" ht="15" hidden="false" customHeight="false" outlineLevel="0" collapsed="false">
      <c r="A277" s="7" t="s">
        <v>329</v>
      </c>
      <c r="B277" s="7" t="s">
        <v>330</v>
      </c>
      <c r="C277" s="7" t="s">
        <v>26</v>
      </c>
      <c r="D277" s="7" t="n">
        <v>99</v>
      </c>
      <c r="E277" s="7" t="n">
        <v>82</v>
      </c>
      <c r="F277" s="7" t="n">
        <f aca="false">ROUND(D277*E277/100,0)</f>
        <v>81</v>
      </c>
      <c r="G277" s="7" t="str">
        <f aca="false">IF(OR(B277="ESP",B277="ARG"),"Finalist","Non-finalist")</f>
        <v>Non-finalist</v>
      </c>
    </row>
    <row r="278" customFormat="false" ht="15" hidden="false" customHeight="false" outlineLevel="0" collapsed="false">
      <c r="A278" s="7" t="s">
        <v>331</v>
      </c>
      <c r="B278" s="7" t="s">
        <v>330</v>
      </c>
      <c r="C278" s="7" t="s">
        <v>26</v>
      </c>
      <c r="D278" s="7" t="n">
        <v>87</v>
      </c>
      <c r="E278" s="7" t="n">
        <v>82</v>
      </c>
      <c r="F278" s="7" t="n">
        <f aca="false">ROUND(D278*E278/100,0)</f>
        <v>71</v>
      </c>
      <c r="G278" s="7" t="str">
        <f aca="false">IF(OR(B278="ESP",B278="ARG"),"Finalist","Non-finalist")</f>
        <v>Non-finalist</v>
      </c>
    </row>
    <row r="279" customFormat="false" ht="15" hidden="false" customHeight="false" outlineLevel="0" collapsed="false">
      <c r="A279" s="7" t="s">
        <v>332</v>
      </c>
      <c r="B279" s="7" t="s">
        <v>330</v>
      </c>
      <c r="C279" s="7" t="s">
        <v>24</v>
      </c>
      <c r="D279" s="7" t="n">
        <v>104</v>
      </c>
      <c r="E279" s="7" t="n">
        <v>93</v>
      </c>
      <c r="F279" s="7" t="n">
        <f aca="false">ROUND(D279*E279/100,0)</f>
        <v>97</v>
      </c>
      <c r="G279" s="7" t="str">
        <f aca="false">IF(OR(B279="ESP",B279="ARG"),"Finalist","Non-finalist")</f>
        <v>Non-finalist</v>
      </c>
    </row>
    <row r="280" customFormat="false" ht="15" hidden="false" customHeight="false" outlineLevel="0" collapsed="false">
      <c r="A280" s="7" t="s">
        <v>333</v>
      </c>
      <c r="B280" s="7" t="s">
        <v>330</v>
      </c>
      <c r="C280" s="7" t="s">
        <v>28</v>
      </c>
      <c r="D280" s="7" t="n">
        <v>93</v>
      </c>
      <c r="E280" s="7" t="n">
        <v>57</v>
      </c>
      <c r="F280" s="7" t="n">
        <f aca="false">ROUND(D280*E280/100,0)</f>
        <v>53</v>
      </c>
      <c r="G280" s="7" t="str">
        <f aca="false">IF(OR(B280="ESP",B280="ARG"),"Finalist","Non-finalist")</f>
        <v>Non-finalist</v>
      </c>
    </row>
    <row r="281" customFormat="false" ht="15" hidden="false" customHeight="false" outlineLevel="0" collapsed="false">
      <c r="A281" s="7" t="s">
        <v>334</v>
      </c>
      <c r="B281" s="7" t="s">
        <v>330</v>
      </c>
      <c r="C281" s="7" t="s">
        <v>24</v>
      </c>
      <c r="D281" s="7" t="n">
        <v>107</v>
      </c>
      <c r="E281" s="7" t="n">
        <v>86</v>
      </c>
      <c r="F281" s="7" t="n">
        <f aca="false">ROUND(D281*E281/100,0)</f>
        <v>92</v>
      </c>
      <c r="G281" s="7" t="str">
        <f aca="false">IF(OR(B281="ESP",B281="ARG"),"Finalist","Non-finalist")</f>
        <v>Non-finalist</v>
      </c>
    </row>
    <row r="282" customFormat="false" ht="15" hidden="false" customHeight="false" outlineLevel="0" collapsed="false">
      <c r="A282" s="7" t="s">
        <v>335</v>
      </c>
      <c r="B282" s="7" t="s">
        <v>330</v>
      </c>
      <c r="C282" s="7" t="s">
        <v>26</v>
      </c>
      <c r="D282" s="7" t="n">
        <v>113</v>
      </c>
      <c r="E282" s="7" t="n">
        <v>78</v>
      </c>
      <c r="F282" s="7" t="n">
        <f aca="false">ROUND(D282*E282/100,0)</f>
        <v>88</v>
      </c>
      <c r="G282" s="7" t="str">
        <f aca="false">IF(OR(B282="ESP",B282="ARG"),"Finalist","Non-finalist")</f>
        <v>Non-finalist</v>
      </c>
    </row>
    <row r="283" customFormat="false" ht="15" hidden="false" customHeight="false" outlineLevel="0" collapsed="false">
      <c r="A283" s="7" t="s">
        <v>336</v>
      </c>
      <c r="B283" s="7" t="s">
        <v>337</v>
      </c>
      <c r="C283" s="7" t="s">
        <v>26</v>
      </c>
      <c r="D283" s="7" t="n">
        <v>449</v>
      </c>
      <c r="E283" s="7" t="n">
        <v>90</v>
      </c>
      <c r="F283" s="7" t="n">
        <f aca="false">ROUND(D283*E283/100,0)</f>
        <v>404</v>
      </c>
      <c r="G283" s="7" t="str">
        <f aca="false">IF(OR(B283="ESP",B283="ARG"),"Finalist","Non-finalist")</f>
        <v>Non-finalist</v>
      </c>
    </row>
    <row r="284" customFormat="false" ht="15" hidden="false" customHeight="false" outlineLevel="0" collapsed="false">
      <c r="A284" s="7" t="s">
        <v>338</v>
      </c>
      <c r="B284" s="7" t="s">
        <v>337</v>
      </c>
      <c r="C284" s="7" t="s">
        <v>26</v>
      </c>
      <c r="D284" s="7" t="n">
        <v>166</v>
      </c>
      <c r="E284" s="7" t="n">
        <v>92</v>
      </c>
      <c r="F284" s="7" t="n">
        <f aca="false">ROUND(D284*E284/100,0)</f>
        <v>153</v>
      </c>
      <c r="G284" s="7" t="str">
        <f aca="false">IF(OR(B284="ESP",B284="ARG"),"Finalist","Non-finalist")</f>
        <v>Non-finalist</v>
      </c>
    </row>
    <row r="285" customFormat="false" ht="15" hidden="false" customHeight="false" outlineLevel="0" collapsed="false">
      <c r="A285" s="7" t="s">
        <v>339</v>
      </c>
      <c r="B285" s="7" t="s">
        <v>337</v>
      </c>
      <c r="C285" s="7" t="s">
        <v>24</v>
      </c>
      <c r="D285" s="7" t="n">
        <v>264</v>
      </c>
      <c r="E285" s="7" t="n">
        <v>90</v>
      </c>
      <c r="F285" s="7" t="n">
        <f aca="false">ROUND(D285*E285/100,0)</f>
        <v>238</v>
      </c>
      <c r="G285" s="7" t="str">
        <f aca="false">IF(OR(B285="ESP",B285="ARG"),"Finalist","Non-finalist")</f>
        <v>Non-finalist</v>
      </c>
    </row>
    <row r="286" customFormat="false" ht="15" hidden="false" customHeight="false" outlineLevel="0" collapsed="false">
      <c r="A286" s="7" t="s">
        <v>340</v>
      </c>
      <c r="B286" s="7" t="s">
        <v>337</v>
      </c>
      <c r="C286" s="7" t="s">
        <v>24</v>
      </c>
      <c r="D286" s="7" t="n">
        <v>315</v>
      </c>
      <c r="E286" s="7" t="n">
        <v>89</v>
      </c>
      <c r="F286" s="7" t="n">
        <f aca="false">ROUND(D286*E286/100,0)</f>
        <v>280</v>
      </c>
      <c r="G286" s="7" t="str">
        <f aca="false">IF(OR(B286="ESP",B286="ARG"),"Finalist","Non-finalist")</f>
        <v>Non-finalist</v>
      </c>
    </row>
    <row r="287" customFormat="false" ht="15" hidden="false" customHeight="false" outlineLevel="0" collapsed="false">
      <c r="A287" s="7" t="s">
        <v>341</v>
      </c>
      <c r="B287" s="7" t="s">
        <v>337</v>
      </c>
      <c r="C287" s="7" t="s">
        <v>24</v>
      </c>
      <c r="D287" s="7" t="n">
        <v>238</v>
      </c>
      <c r="E287" s="7" t="n">
        <v>78</v>
      </c>
      <c r="F287" s="7" t="n">
        <f aca="false">ROUND(D287*E287/100,0)</f>
        <v>186</v>
      </c>
      <c r="G287" s="7" t="str">
        <f aca="false">IF(OR(B287="ESP",B287="ARG"),"Finalist","Non-finalist")</f>
        <v>Non-finalist</v>
      </c>
    </row>
    <row r="288" customFormat="false" ht="15" hidden="false" customHeight="false" outlineLevel="0" collapsed="false">
      <c r="A288" s="7" t="s">
        <v>342</v>
      </c>
      <c r="B288" s="7" t="s">
        <v>337</v>
      </c>
      <c r="C288" s="7" t="s">
        <v>34</v>
      </c>
      <c r="D288" s="7" t="n">
        <v>165</v>
      </c>
      <c r="E288" s="7" t="n">
        <v>86</v>
      </c>
      <c r="F288" s="7" t="n">
        <f aca="false">ROUND(D288*E288/100,0)</f>
        <v>142</v>
      </c>
      <c r="G288" s="7" t="str">
        <f aca="false">IF(OR(B288="ESP",B288="ARG"),"Finalist","Non-finalist")</f>
        <v>Non-finalist</v>
      </c>
    </row>
    <row r="289" customFormat="false" ht="15" hidden="false" customHeight="false" outlineLevel="0" collapsed="false">
      <c r="A289" s="7" t="s">
        <v>343</v>
      </c>
      <c r="B289" s="7" t="s">
        <v>337</v>
      </c>
      <c r="C289" s="7" t="s">
        <v>26</v>
      </c>
      <c r="D289" s="7" t="n">
        <v>226</v>
      </c>
      <c r="E289" s="7" t="n">
        <v>94</v>
      </c>
      <c r="F289" s="7" t="n">
        <f aca="false">ROUND(D289*E289/100,0)</f>
        <v>212</v>
      </c>
      <c r="G289" s="7" t="str">
        <f aca="false">IF(OR(B289="ESP",B289="ARG"),"Finalist","Non-finalist")</f>
        <v>Non-finalist</v>
      </c>
    </row>
    <row r="290" customFormat="false" ht="15" hidden="false" customHeight="false" outlineLevel="0" collapsed="false">
      <c r="A290" s="7" t="s">
        <v>344</v>
      </c>
      <c r="B290" s="7" t="s">
        <v>337</v>
      </c>
      <c r="C290" s="7" t="s">
        <v>24</v>
      </c>
      <c r="D290" s="7" t="n">
        <v>95</v>
      </c>
      <c r="E290" s="7" t="n">
        <v>84</v>
      </c>
      <c r="F290" s="7" t="n">
        <f aca="false">ROUND(D290*E290/100,0)</f>
        <v>80</v>
      </c>
      <c r="G290" s="7" t="str">
        <f aca="false">IF(OR(B290="ESP",B290="ARG"),"Finalist","Non-finalist")</f>
        <v>Non-finalist</v>
      </c>
    </row>
    <row r="291" customFormat="false" ht="15" hidden="false" customHeight="false" outlineLevel="0" collapsed="false">
      <c r="A291" s="7" t="s">
        <v>345</v>
      </c>
      <c r="B291" s="7" t="s">
        <v>337</v>
      </c>
      <c r="C291" s="7" t="s">
        <v>26</v>
      </c>
      <c r="D291" s="7" t="n">
        <v>326</v>
      </c>
      <c r="E291" s="7" t="n">
        <v>92</v>
      </c>
      <c r="F291" s="7" t="n">
        <f aca="false">ROUND(D291*E291/100,0)</f>
        <v>300</v>
      </c>
      <c r="G291" s="7" t="str">
        <f aca="false">IF(OR(B291="ESP",B291="ARG"),"Finalist","Non-finalist")</f>
        <v>Non-finalist</v>
      </c>
    </row>
    <row r="292" customFormat="false" ht="15" hidden="false" customHeight="false" outlineLevel="0" collapsed="false">
      <c r="A292" s="7" t="s">
        <v>346</v>
      </c>
      <c r="B292" s="7" t="s">
        <v>337</v>
      </c>
      <c r="C292" s="7" t="s">
        <v>24</v>
      </c>
      <c r="D292" s="7" t="n">
        <v>433</v>
      </c>
      <c r="E292" s="7" t="n">
        <v>94</v>
      </c>
      <c r="F292" s="7" t="n">
        <f aca="false">ROUND(D292*E292/100,0)</f>
        <v>407</v>
      </c>
      <c r="G292" s="7" t="str">
        <f aca="false">IF(OR(B292="ESP",B292="ARG"),"Finalist","Non-finalist")</f>
        <v>Non-finalist</v>
      </c>
    </row>
    <row r="293" customFormat="false" ht="15" hidden="false" customHeight="false" outlineLevel="0" collapsed="false">
      <c r="A293" s="7" t="s">
        <v>347</v>
      </c>
      <c r="B293" s="7" t="s">
        <v>337</v>
      </c>
      <c r="C293" s="7" t="s">
        <v>26</v>
      </c>
      <c r="D293" s="7" t="n">
        <v>275</v>
      </c>
      <c r="E293" s="7" t="n">
        <v>91</v>
      </c>
      <c r="F293" s="7" t="n">
        <f aca="false">ROUND(D293*E293/100,0)</f>
        <v>250</v>
      </c>
      <c r="G293" s="7" t="str">
        <f aca="false">IF(OR(B293="ESP",B293="ARG"),"Finalist","Non-finalist")</f>
        <v>Non-finalist</v>
      </c>
    </row>
    <row r="294" customFormat="false" ht="15" hidden="false" customHeight="false" outlineLevel="0" collapsed="false">
      <c r="A294" s="7" t="s">
        <v>348</v>
      </c>
      <c r="B294" s="7" t="s">
        <v>337</v>
      </c>
      <c r="C294" s="7" t="s">
        <v>26</v>
      </c>
      <c r="D294" s="7" t="n">
        <v>119</v>
      </c>
      <c r="E294" s="7" t="n">
        <v>95</v>
      </c>
      <c r="F294" s="7" t="n">
        <f aca="false">ROUND(D294*E294/100,0)</f>
        <v>113</v>
      </c>
      <c r="G294" s="7" t="str">
        <f aca="false">IF(OR(B294="ESP",B294="ARG"),"Finalist","Non-finalist")</f>
        <v>Non-finalist</v>
      </c>
    </row>
    <row r="295" customFormat="false" ht="15" hidden="false" customHeight="false" outlineLevel="0" collapsed="false">
      <c r="A295" s="7" t="s">
        <v>349</v>
      </c>
      <c r="B295" s="7" t="s">
        <v>337</v>
      </c>
      <c r="C295" s="7" t="s">
        <v>24</v>
      </c>
      <c r="D295" s="7" t="n">
        <v>110</v>
      </c>
      <c r="E295" s="7" t="n">
        <v>91</v>
      </c>
      <c r="F295" s="7" t="n">
        <f aca="false">ROUND(D295*E295/100,0)</f>
        <v>100</v>
      </c>
      <c r="G295" s="7" t="str">
        <f aca="false">IF(OR(B295="ESP",B295="ARG"),"Finalist","Non-finalist")</f>
        <v>Non-finalist</v>
      </c>
    </row>
    <row r="296" customFormat="false" ht="15" hidden="false" customHeight="false" outlineLevel="0" collapsed="false">
      <c r="A296" s="7" t="s">
        <v>350</v>
      </c>
      <c r="B296" s="7" t="s">
        <v>337</v>
      </c>
      <c r="C296" s="7" t="s">
        <v>24</v>
      </c>
      <c r="D296" s="7" t="n">
        <v>106</v>
      </c>
      <c r="E296" s="7" t="n">
        <v>92</v>
      </c>
      <c r="F296" s="7" t="n">
        <f aca="false">ROUND(D296*E296/100,0)</f>
        <v>98</v>
      </c>
      <c r="G296" s="7" t="str">
        <f aca="false">IF(OR(B296="ESP",B296="ARG"),"Finalist","Non-finalist")</f>
        <v>Non-finalist</v>
      </c>
    </row>
    <row r="297" customFormat="false" ht="15" hidden="false" customHeight="false" outlineLevel="0" collapsed="false">
      <c r="A297" s="7" t="s">
        <v>351</v>
      </c>
      <c r="B297" s="7" t="s">
        <v>337</v>
      </c>
      <c r="C297" s="7" t="s">
        <v>28</v>
      </c>
      <c r="D297" s="7" t="n">
        <v>211</v>
      </c>
      <c r="E297" s="7" t="n">
        <v>67</v>
      </c>
      <c r="F297" s="7" t="n">
        <f aca="false">ROUND(D297*E297/100,0)</f>
        <v>141</v>
      </c>
      <c r="G297" s="7" t="str">
        <f aca="false">IF(OR(B297="ESP",B297="ARG"),"Finalist","Non-finalist")</f>
        <v>Non-finalist</v>
      </c>
    </row>
    <row r="298" customFormat="false" ht="15" hidden="false" customHeight="false" outlineLevel="0" collapsed="false">
      <c r="A298" s="7" t="s">
        <v>352</v>
      </c>
      <c r="B298" s="7" t="s">
        <v>353</v>
      </c>
      <c r="C298" s="7" t="s">
        <v>26</v>
      </c>
      <c r="D298" s="7" t="n">
        <v>170</v>
      </c>
      <c r="E298" s="7" t="n">
        <v>92</v>
      </c>
      <c r="F298" s="7" t="n">
        <f aca="false">ROUND(D298*E298/100,0)</f>
        <v>156</v>
      </c>
      <c r="G298" s="7" t="str">
        <f aca="false">IF(OR(B298="ESP",B298="ARG"),"Finalist","Non-finalist")</f>
        <v>Non-finalist</v>
      </c>
    </row>
    <row r="299" customFormat="false" ht="15" hidden="false" customHeight="false" outlineLevel="0" collapsed="false">
      <c r="A299" s="7" t="s">
        <v>354</v>
      </c>
      <c r="B299" s="7" t="s">
        <v>353</v>
      </c>
      <c r="C299" s="7" t="s">
        <v>26</v>
      </c>
      <c r="D299" s="7" t="n">
        <v>153</v>
      </c>
      <c r="E299" s="7" t="n">
        <v>90</v>
      </c>
      <c r="F299" s="7" t="n">
        <f aca="false">ROUND(D299*E299/100,0)</f>
        <v>138</v>
      </c>
      <c r="G299" s="7" t="str">
        <f aca="false">IF(OR(B299="ESP",B299="ARG"),"Finalist","Non-finalist")</f>
        <v>Non-finalist</v>
      </c>
    </row>
    <row r="300" customFormat="false" ht="15" hidden="false" customHeight="false" outlineLevel="0" collapsed="false">
      <c r="A300" s="7" t="s">
        <v>355</v>
      </c>
      <c r="B300" s="7" t="s">
        <v>353</v>
      </c>
      <c r="C300" s="7" t="s">
        <v>24</v>
      </c>
      <c r="D300" s="7" t="n">
        <v>199</v>
      </c>
      <c r="E300" s="7" t="n">
        <v>91</v>
      </c>
      <c r="F300" s="7" t="n">
        <f aca="false">ROUND(D300*E300/100,0)</f>
        <v>181</v>
      </c>
      <c r="G300" s="7" t="str">
        <f aca="false">IF(OR(B300="ESP",B300="ARG"),"Finalist","Non-finalist")</f>
        <v>Non-finalist</v>
      </c>
    </row>
    <row r="301" customFormat="false" ht="15" hidden="false" customHeight="false" outlineLevel="0" collapsed="false">
      <c r="A301" s="7" t="s">
        <v>356</v>
      </c>
      <c r="B301" s="7" t="s">
        <v>353</v>
      </c>
      <c r="C301" s="7" t="s">
        <v>24</v>
      </c>
      <c r="D301" s="7" t="n">
        <v>87</v>
      </c>
      <c r="E301" s="7" t="n">
        <v>91</v>
      </c>
      <c r="F301" s="7" t="n">
        <f aca="false">ROUND(D301*E301/100,0)</f>
        <v>79</v>
      </c>
      <c r="G301" s="7" t="str">
        <f aca="false">IF(OR(B301="ESP",B301="ARG"),"Finalist","Non-finalist")</f>
        <v>Non-finalist</v>
      </c>
    </row>
    <row r="302" customFormat="false" ht="15" hidden="false" customHeight="false" outlineLevel="0" collapsed="false">
      <c r="A302" s="7" t="s">
        <v>357</v>
      </c>
      <c r="B302" s="7" t="s">
        <v>353</v>
      </c>
      <c r="C302" s="7" t="s">
        <v>26</v>
      </c>
      <c r="D302" s="7" t="n">
        <v>102</v>
      </c>
      <c r="E302" s="7" t="n">
        <v>91</v>
      </c>
      <c r="F302" s="7" t="n">
        <f aca="false">ROUND(D302*E302/100,0)</f>
        <v>93</v>
      </c>
      <c r="G302" s="7" t="str">
        <f aca="false">IF(OR(B302="ESP",B302="ARG"),"Finalist","Non-finalist")</f>
        <v>Non-finalist</v>
      </c>
    </row>
    <row r="303" customFormat="false" ht="15" hidden="false" customHeight="false" outlineLevel="0" collapsed="false">
      <c r="A303" s="7" t="s">
        <v>358</v>
      </c>
      <c r="B303" s="7" t="s">
        <v>353</v>
      </c>
      <c r="C303" s="7" t="s">
        <v>26</v>
      </c>
      <c r="D303" s="7" t="n">
        <v>167</v>
      </c>
      <c r="E303" s="7" t="n">
        <v>84</v>
      </c>
      <c r="F303" s="7" t="n">
        <f aca="false">ROUND(D303*E303/100,0)</f>
        <v>140</v>
      </c>
      <c r="G303" s="7" t="str">
        <f aca="false">IF(OR(B303="ESP",B303="ARG"),"Finalist","Non-finalist")</f>
        <v>Non-finalist</v>
      </c>
    </row>
    <row r="304" customFormat="false" ht="15" hidden="false" customHeight="false" outlineLevel="0" collapsed="false">
      <c r="A304" s="7" t="s">
        <v>359</v>
      </c>
      <c r="B304" s="7" t="s">
        <v>353</v>
      </c>
      <c r="C304" s="7" t="s">
        <v>26</v>
      </c>
      <c r="D304" s="7" t="n">
        <v>237</v>
      </c>
      <c r="E304" s="7" t="n">
        <v>93</v>
      </c>
      <c r="F304" s="7" t="n">
        <f aca="false">ROUND(D304*E304/100,0)</f>
        <v>220</v>
      </c>
      <c r="G304" s="7" t="str">
        <f aca="false">IF(OR(B304="ESP",B304="ARG"),"Finalist","Non-finalist")</f>
        <v>Non-finalist</v>
      </c>
    </row>
    <row r="305" customFormat="false" ht="15" hidden="false" customHeight="false" outlineLevel="0" collapsed="false">
      <c r="A305" s="7" t="s">
        <v>360</v>
      </c>
      <c r="B305" s="7" t="s">
        <v>353</v>
      </c>
      <c r="C305" s="7" t="s">
        <v>26</v>
      </c>
      <c r="D305" s="7" t="n">
        <v>131</v>
      </c>
      <c r="E305" s="7" t="n">
        <v>92</v>
      </c>
      <c r="F305" s="7" t="n">
        <f aca="false">ROUND(D305*E305/100,0)</f>
        <v>121</v>
      </c>
      <c r="G305" s="7" t="str">
        <f aca="false">IF(OR(B305="ESP",B305="ARG"),"Finalist","Non-finalist")</f>
        <v>Non-finalist</v>
      </c>
    </row>
    <row r="306" customFormat="false" ht="15" hidden="false" customHeight="false" outlineLevel="0" collapsed="false">
      <c r="A306" s="7" t="s">
        <v>361</v>
      </c>
      <c r="B306" s="7" t="s">
        <v>353</v>
      </c>
      <c r="C306" s="7" t="s">
        <v>34</v>
      </c>
      <c r="D306" s="7" t="n">
        <v>135</v>
      </c>
      <c r="E306" s="7" t="n">
        <v>82</v>
      </c>
      <c r="F306" s="7" t="n">
        <f aca="false">ROUND(D306*E306/100,0)</f>
        <v>111</v>
      </c>
      <c r="G306" s="7" t="str">
        <f aca="false">IF(OR(B306="ESP",B306="ARG"),"Finalist","Non-finalist")</f>
        <v>Non-finalist</v>
      </c>
    </row>
    <row r="307" customFormat="false" ht="15" hidden="false" customHeight="false" outlineLevel="0" collapsed="false">
      <c r="A307" s="7" t="s">
        <v>362</v>
      </c>
      <c r="B307" s="7" t="s">
        <v>353</v>
      </c>
      <c r="C307" s="7" t="s">
        <v>24</v>
      </c>
      <c r="D307" s="7" t="n">
        <v>106</v>
      </c>
      <c r="E307" s="7" t="n">
        <v>88</v>
      </c>
      <c r="F307" s="7" t="n">
        <f aca="false">ROUND(D307*E307/100,0)</f>
        <v>93</v>
      </c>
      <c r="G307" s="7" t="str">
        <f aca="false">IF(OR(B307="ESP",B307="ARG"),"Finalist","Non-finalist")</f>
        <v>Non-finalist</v>
      </c>
    </row>
    <row r="308" customFormat="false" ht="15" hidden="false" customHeight="false" outlineLevel="0" collapsed="false">
      <c r="A308" s="7" t="s">
        <v>363</v>
      </c>
      <c r="B308" s="7" t="s">
        <v>353</v>
      </c>
      <c r="C308" s="7" t="s">
        <v>28</v>
      </c>
      <c r="D308" s="7" t="n">
        <v>155</v>
      </c>
      <c r="E308" s="7" t="n">
        <v>77</v>
      </c>
      <c r="F308" s="7" t="n">
        <f aca="false">ROUND(D308*E308/100,0)</f>
        <v>119</v>
      </c>
      <c r="G308" s="7" t="str">
        <f aca="false">IF(OR(B308="ESP",B308="ARG"),"Finalist","Non-finalist")</f>
        <v>Non-finalist</v>
      </c>
    </row>
    <row r="309" customFormat="false" ht="15" hidden="false" customHeight="false" outlineLevel="0" collapsed="false">
      <c r="A309" s="7" t="s">
        <v>364</v>
      </c>
      <c r="B309" s="7" t="s">
        <v>353</v>
      </c>
      <c r="C309" s="7" t="s">
        <v>34</v>
      </c>
      <c r="D309" s="7" t="n">
        <v>201</v>
      </c>
      <c r="E309" s="7" t="n">
        <v>81</v>
      </c>
      <c r="F309" s="7" t="n">
        <f aca="false">ROUND(D309*E309/100,0)</f>
        <v>163</v>
      </c>
      <c r="G309" s="7" t="str">
        <f aca="false">IF(OR(B309="ESP",B309="ARG"),"Finalist","Non-finalist")</f>
        <v>Non-finalist</v>
      </c>
    </row>
    <row r="310" customFormat="false" ht="15" hidden="false" customHeight="false" outlineLevel="0" collapsed="false">
      <c r="A310" s="7" t="s">
        <v>365</v>
      </c>
      <c r="B310" s="7" t="s">
        <v>366</v>
      </c>
      <c r="C310" s="7" t="s">
        <v>28</v>
      </c>
      <c r="D310" s="7" t="n">
        <v>123</v>
      </c>
      <c r="E310" s="7" t="n">
        <v>72</v>
      </c>
      <c r="F310" s="7" t="n">
        <f aca="false">ROUND(D310*E310/100,0)</f>
        <v>89</v>
      </c>
      <c r="G310" s="7" t="str">
        <f aca="false">IF(OR(B310="ESP",B310="ARG"),"Finalist","Non-finalist")</f>
        <v>Non-finalist</v>
      </c>
    </row>
    <row r="311" customFormat="false" ht="15" hidden="false" customHeight="false" outlineLevel="0" collapsed="false">
      <c r="A311" s="7" t="s">
        <v>367</v>
      </c>
      <c r="B311" s="7" t="s">
        <v>366</v>
      </c>
      <c r="C311" s="7" t="s">
        <v>34</v>
      </c>
      <c r="D311" s="7" t="n">
        <v>100</v>
      </c>
      <c r="E311" s="7" t="n">
        <v>79</v>
      </c>
      <c r="F311" s="7" t="n">
        <f aca="false">ROUND(D311*E311/100,0)</f>
        <v>79</v>
      </c>
      <c r="G311" s="7" t="str">
        <f aca="false">IF(OR(B311="ESP",B311="ARG"),"Finalist","Non-finalist")</f>
        <v>Non-finalist</v>
      </c>
    </row>
    <row r="312" customFormat="false" ht="15" hidden="false" customHeight="false" outlineLevel="0" collapsed="false">
      <c r="A312" s="7" t="s">
        <v>368</v>
      </c>
      <c r="B312" s="7" t="s">
        <v>366</v>
      </c>
      <c r="C312" s="7" t="s">
        <v>26</v>
      </c>
      <c r="D312" s="7" t="n">
        <v>179</v>
      </c>
      <c r="E312" s="7" t="n">
        <v>82</v>
      </c>
      <c r="F312" s="7" t="n">
        <f aca="false">ROUND(D312*E312/100,0)</f>
        <v>147</v>
      </c>
      <c r="G312" s="7" t="str">
        <f aca="false">IF(OR(B312="ESP",B312="ARG"),"Finalist","Non-finalist")</f>
        <v>Non-finalist</v>
      </c>
    </row>
    <row r="313" customFormat="false" ht="15" hidden="false" customHeight="false" outlineLevel="0" collapsed="false">
      <c r="A313" s="7" t="s">
        <v>369</v>
      </c>
      <c r="B313" s="7" t="s">
        <v>366</v>
      </c>
      <c r="C313" s="7" t="s">
        <v>24</v>
      </c>
      <c r="D313" s="7" t="n">
        <v>243</v>
      </c>
      <c r="E313" s="7" t="n">
        <v>92</v>
      </c>
      <c r="F313" s="7" t="n">
        <f aca="false">ROUND(D313*E313/100,0)</f>
        <v>224</v>
      </c>
      <c r="G313" s="7" t="str">
        <f aca="false">IF(OR(B313="ESP",B313="ARG"),"Finalist","Non-finalist")</f>
        <v>Non-finalist</v>
      </c>
    </row>
    <row r="314" customFormat="false" ht="15" hidden="false" customHeight="false" outlineLevel="0" collapsed="false">
      <c r="A314" s="7" t="s">
        <v>370</v>
      </c>
      <c r="B314" s="7" t="s">
        <v>366</v>
      </c>
      <c r="C314" s="7" t="s">
        <v>26</v>
      </c>
      <c r="D314" s="7" t="n">
        <v>360</v>
      </c>
      <c r="E314" s="7" t="n">
        <v>93</v>
      </c>
      <c r="F314" s="7" t="n">
        <f aca="false">ROUND(D314*E314/100,0)</f>
        <v>335</v>
      </c>
      <c r="G314" s="7" t="str">
        <f aca="false">IF(OR(B314="ESP",B314="ARG"),"Finalist","Non-finalist")</f>
        <v>Non-finalist</v>
      </c>
    </row>
    <row r="315" customFormat="false" ht="15" hidden="false" customHeight="false" outlineLevel="0" collapsed="false">
      <c r="A315" s="7" t="s">
        <v>371</v>
      </c>
      <c r="B315" s="7" t="s">
        <v>366</v>
      </c>
      <c r="C315" s="7" t="s">
        <v>26</v>
      </c>
      <c r="D315" s="7" t="n">
        <v>117</v>
      </c>
      <c r="E315" s="7" t="n">
        <v>90</v>
      </c>
      <c r="F315" s="7" t="n">
        <f aca="false">ROUND(D315*E315/100,0)</f>
        <v>105</v>
      </c>
      <c r="G315" s="7" t="str">
        <f aca="false">IF(OR(B315="ESP",B315="ARG"),"Finalist","Non-finalist")</f>
        <v>Non-finalist</v>
      </c>
    </row>
    <row r="316" customFormat="false" ht="15" hidden="false" customHeight="false" outlineLevel="0" collapsed="false">
      <c r="A316" s="7" t="s">
        <v>372</v>
      </c>
      <c r="B316" s="7" t="s">
        <v>366</v>
      </c>
      <c r="C316" s="7" t="s">
        <v>26</v>
      </c>
      <c r="D316" s="7" t="n">
        <v>123</v>
      </c>
      <c r="E316" s="7" t="n">
        <v>91</v>
      </c>
      <c r="F316" s="7" t="n">
        <f aca="false">ROUND(D316*E316/100,0)</f>
        <v>112</v>
      </c>
      <c r="G316" s="7" t="str">
        <f aca="false">IF(OR(B316="ESP",B316="ARG"),"Finalist","Non-finalist")</f>
        <v>Non-finalist</v>
      </c>
    </row>
    <row r="317" customFormat="false" ht="15" hidden="false" customHeight="false" outlineLevel="0" collapsed="false">
      <c r="A317" s="7" t="s">
        <v>373</v>
      </c>
      <c r="B317" s="7" t="s">
        <v>366</v>
      </c>
      <c r="C317" s="7" t="s">
        <v>24</v>
      </c>
      <c r="D317" s="7" t="n">
        <v>126</v>
      </c>
      <c r="E317" s="7" t="n">
        <v>88</v>
      </c>
      <c r="F317" s="7" t="n">
        <f aca="false">ROUND(D317*E317/100,0)</f>
        <v>111</v>
      </c>
      <c r="G317" s="7" t="str">
        <f aca="false">IF(OR(B317="ESP",B317="ARG"),"Finalist","Non-finalist")</f>
        <v>Non-finalist</v>
      </c>
    </row>
    <row r="318" customFormat="false" ht="15" hidden="false" customHeight="false" outlineLevel="0" collapsed="false">
      <c r="A318" s="7" t="s">
        <v>374</v>
      </c>
      <c r="B318" s="7" t="s">
        <v>366</v>
      </c>
      <c r="C318" s="7" t="s">
        <v>26</v>
      </c>
      <c r="D318" s="7" t="n">
        <v>347</v>
      </c>
      <c r="E318" s="7" t="n">
        <v>95</v>
      </c>
      <c r="F318" s="7" t="n">
        <f aca="false">ROUND(D318*E318/100,0)</f>
        <v>330</v>
      </c>
      <c r="G318" s="7" t="str">
        <f aca="false">IF(OR(B318="ESP",B318="ARG"),"Finalist","Non-finalist")</f>
        <v>Non-finalist</v>
      </c>
    </row>
    <row r="319" customFormat="false" ht="15" hidden="false" customHeight="false" outlineLevel="0" collapsed="false">
      <c r="A319" s="7" t="s">
        <v>375</v>
      </c>
      <c r="B319" s="7" t="s">
        <v>376</v>
      </c>
      <c r="C319" s="7" t="s">
        <v>34</v>
      </c>
      <c r="D319" s="7" t="n">
        <v>110</v>
      </c>
      <c r="E319" s="7" t="n">
        <v>80</v>
      </c>
      <c r="F319" s="7" t="n">
        <f aca="false">ROUND(D319*E319/100,0)</f>
        <v>88</v>
      </c>
      <c r="G319" s="7" t="str">
        <f aca="false">IF(OR(B319="ESP",B319="ARG"),"Finalist","Non-finalist")</f>
        <v>Non-finalist</v>
      </c>
    </row>
    <row r="320" customFormat="false" ht="15" hidden="false" customHeight="false" outlineLevel="0" collapsed="false">
      <c r="A320" s="7" t="s">
        <v>377</v>
      </c>
      <c r="B320" s="7" t="s">
        <v>376</v>
      </c>
      <c r="C320" s="7" t="s">
        <v>24</v>
      </c>
      <c r="D320" s="7" t="n">
        <v>104</v>
      </c>
      <c r="E320" s="7" t="n">
        <v>86</v>
      </c>
      <c r="F320" s="7" t="n">
        <f aca="false">ROUND(D320*E320/100,0)</f>
        <v>89</v>
      </c>
      <c r="G320" s="7" t="str">
        <f aca="false">IF(OR(B320="ESP",B320="ARG"),"Finalist","Non-finalist")</f>
        <v>Non-finalist</v>
      </c>
    </row>
    <row r="321" customFormat="false" ht="15" hidden="false" customHeight="false" outlineLevel="0" collapsed="false">
      <c r="A321" s="7" t="s">
        <v>378</v>
      </c>
      <c r="B321" s="7" t="s">
        <v>376</v>
      </c>
      <c r="C321" s="7" t="s">
        <v>34</v>
      </c>
      <c r="D321" s="7" t="n">
        <v>83</v>
      </c>
      <c r="E321" s="7" t="n">
        <v>75</v>
      </c>
      <c r="F321" s="7" t="n">
        <f aca="false">ROUND(D321*E321/100,0)</f>
        <v>62</v>
      </c>
      <c r="G321" s="7" t="str">
        <f aca="false">IF(OR(B321="ESP",B321="ARG"),"Finalist","Non-finalist")</f>
        <v>Non-finalist</v>
      </c>
    </row>
    <row r="322" customFormat="false" ht="15" hidden="false" customHeight="false" outlineLevel="0" collapsed="false">
      <c r="A322" s="7" t="s">
        <v>379</v>
      </c>
      <c r="B322" s="7" t="s">
        <v>376</v>
      </c>
      <c r="C322" s="7" t="s">
        <v>26</v>
      </c>
      <c r="D322" s="7" t="n">
        <v>186</v>
      </c>
      <c r="E322" s="7" t="n">
        <v>87</v>
      </c>
      <c r="F322" s="7" t="n">
        <f aca="false">ROUND(D322*E322/100,0)</f>
        <v>162</v>
      </c>
      <c r="G322" s="7" t="str">
        <f aca="false">IF(OR(B322="ESP",B322="ARG"),"Finalist","Non-finalist")</f>
        <v>Non-finalist</v>
      </c>
    </row>
    <row r="323" customFormat="false" ht="15" hidden="false" customHeight="false" outlineLevel="0" collapsed="false">
      <c r="A323" s="7" t="s">
        <v>380</v>
      </c>
      <c r="B323" s="7" t="s">
        <v>376</v>
      </c>
      <c r="C323" s="7" t="s">
        <v>24</v>
      </c>
      <c r="D323" s="7" t="n">
        <v>178</v>
      </c>
      <c r="E323" s="7" t="n">
        <v>89</v>
      </c>
      <c r="F323" s="7" t="n">
        <f aca="false">ROUND(D323*E323/100,0)</f>
        <v>158</v>
      </c>
      <c r="G323" s="7" t="str">
        <f aca="false">IF(OR(B323="ESP",B323="ARG"),"Finalist","Non-finalist")</f>
        <v>Non-finalist</v>
      </c>
    </row>
    <row r="324" customFormat="false" ht="15" hidden="false" customHeight="false" outlineLevel="0" collapsed="false">
      <c r="A324" s="7" t="s">
        <v>381</v>
      </c>
      <c r="B324" s="7" t="s">
        <v>376</v>
      </c>
      <c r="C324" s="7" t="s">
        <v>34</v>
      </c>
      <c r="D324" s="7" t="n">
        <v>149</v>
      </c>
      <c r="E324" s="7" t="n">
        <v>88</v>
      </c>
      <c r="F324" s="7" t="n">
        <f aca="false">ROUND(D324*E324/100,0)</f>
        <v>131</v>
      </c>
      <c r="G324" s="7" t="str">
        <f aca="false">IF(OR(B324="ESP",B324="ARG"),"Finalist","Non-finalist")</f>
        <v>Non-finalist</v>
      </c>
    </row>
    <row r="325" customFormat="false" ht="15" hidden="false" customHeight="false" outlineLevel="0" collapsed="false">
      <c r="A325" s="7" t="s">
        <v>382</v>
      </c>
      <c r="B325" s="7" t="s">
        <v>376</v>
      </c>
      <c r="C325" s="7" t="s">
        <v>26</v>
      </c>
      <c r="D325" s="7" t="n">
        <v>273</v>
      </c>
      <c r="E325" s="7" t="n">
        <v>94</v>
      </c>
      <c r="F325" s="7" t="n">
        <f aca="false">ROUND(D325*E325/100,0)</f>
        <v>257</v>
      </c>
      <c r="G325" s="7" t="str">
        <f aca="false">IF(OR(B325="ESP",B325="ARG"),"Finalist","Non-finalist")</f>
        <v>Non-finalist</v>
      </c>
    </row>
    <row r="326" customFormat="false" ht="15" hidden="false" customHeight="false" outlineLevel="0" collapsed="false">
      <c r="A326" s="7" t="s">
        <v>383</v>
      </c>
      <c r="B326" s="7" t="s">
        <v>376</v>
      </c>
      <c r="C326" s="7" t="s">
        <v>26</v>
      </c>
      <c r="D326" s="7" t="n">
        <v>99</v>
      </c>
      <c r="E326" s="7" t="n">
        <v>85</v>
      </c>
      <c r="F326" s="7" t="n">
        <f aca="false">ROUND(D326*E326/100,0)</f>
        <v>84</v>
      </c>
      <c r="G326" s="7" t="str">
        <f aca="false">IF(OR(B326="ESP",B326="ARG"),"Finalist","Non-finalist")</f>
        <v>Non-finalist</v>
      </c>
    </row>
    <row r="327" customFormat="false" ht="15" hidden="false" customHeight="false" outlineLevel="0" collapsed="false">
      <c r="A327" s="7" t="s">
        <v>384</v>
      </c>
      <c r="B327" s="7" t="s">
        <v>376</v>
      </c>
      <c r="C327" s="7" t="s">
        <v>26</v>
      </c>
      <c r="D327" s="7" t="n">
        <v>107</v>
      </c>
      <c r="E327" s="7" t="n">
        <v>81</v>
      </c>
      <c r="F327" s="7" t="n">
        <f aca="false">ROUND(D327*E327/100,0)</f>
        <v>87</v>
      </c>
      <c r="G327" s="7" t="str">
        <f aca="false">IF(OR(B327="ESP",B327="ARG"),"Finalist","Non-finalist")</f>
        <v>Non-finalist</v>
      </c>
    </row>
    <row r="328" customFormat="false" ht="15" hidden="false" customHeight="false" outlineLevel="0" collapsed="false">
      <c r="A328" s="7" t="s">
        <v>385</v>
      </c>
      <c r="B328" s="7" t="s">
        <v>376</v>
      </c>
      <c r="C328" s="7" t="s">
        <v>24</v>
      </c>
      <c r="D328" s="7" t="n">
        <v>367</v>
      </c>
      <c r="E328" s="7" t="n">
        <v>88</v>
      </c>
      <c r="F328" s="7" t="n">
        <f aca="false">ROUND(D328*E328/100,0)</f>
        <v>323</v>
      </c>
      <c r="G328" s="7" t="str">
        <f aca="false">IF(OR(B328="ESP",B328="ARG"),"Finalist","Non-finalist")</f>
        <v>Non-finalist</v>
      </c>
    </row>
    <row r="329" customFormat="false" ht="15" hidden="false" customHeight="false" outlineLevel="0" collapsed="false">
      <c r="A329" s="7" t="s">
        <v>386</v>
      </c>
      <c r="B329" s="7" t="s">
        <v>376</v>
      </c>
      <c r="C329" s="7" t="s">
        <v>28</v>
      </c>
      <c r="D329" s="7" t="n">
        <v>204</v>
      </c>
      <c r="E329" s="7" t="n">
        <v>68</v>
      </c>
      <c r="F329" s="7" t="n">
        <f aca="false">ROUND(D329*E329/100,0)</f>
        <v>139</v>
      </c>
      <c r="G329" s="7" t="str">
        <f aca="false">IF(OR(B329="ESP",B329="ARG"),"Finalist","Non-finalist")</f>
        <v>Non-finalist</v>
      </c>
    </row>
    <row r="330" customFormat="false" ht="15" hidden="false" customHeight="false" outlineLevel="0" collapsed="false">
      <c r="A330" s="7" t="s">
        <v>387</v>
      </c>
      <c r="B330" s="7" t="s">
        <v>376</v>
      </c>
      <c r="C330" s="7" t="s">
        <v>24</v>
      </c>
      <c r="D330" s="7" t="n">
        <v>111</v>
      </c>
      <c r="E330" s="7" t="n">
        <v>92</v>
      </c>
      <c r="F330" s="7" t="n">
        <f aca="false">ROUND(D330*E330/100,0)</f>
        <v>102</v>
      </c>
      <c r="G330" s="7" t="str">
        <f aca="false">IF(OR(B330="ESP",B330="ARG"),"Finalist","Non-finalist")</f>
        <v>Non-finalist</v>
      </c>
    </row>
    <row r="331" customFormat="false" ht="15" hidden="false" customHeight="false" outlineLevel="0" collapsed="false">
      <c r="A331" s="7" t="s">
        <v>388</v>
      </c>
      <c r="B331" s="7" t="s">
        <v>376</v>
      </c>
      <c r="C331" s="7" t="s">
        <v>24</v>
      </c>
      <c r="D331" s="7" t="n">
        <v>174</v>
      </c>
      <c r="E331" s="7" t="n">
        <v>93</v>
      </c>
      <c r="F331" s="7" t="n">
        <f aca="false">ROUND(D331*E331/100,0)</f>
        <v>162</v>
      </c>
      <c r="G331" s="7" t="str">
        <f aca="false">IF(OR(B331="ESP",B331="ARG"),"Finalist","Non-finalist")</f>
        <v>Non-finalist</v>
      </c>
    </row>
    <row r="332" customFormat="false" ht="15" hidden="false" customHeight="false" outlineLevel="0" collapsed="false">
      <c r="A332" s="7" t="s">
        <v>389</v>
      </c>
      <c r="B332" s="7" t="s">
        <v>376</v>
      </c>
      <c r="C332" s="7" t="s">
        <v>24</v>
      </c>
      <c r="D332" s="7" t="n">
        <v>425</v>
      </c>
      <c r="E332" s="7" t="n">
        <v>97</v>
      </c>
      <c r="F332" s="7" t="n">
        <f aca="false">ROUND(D332*E332/100,0)</f>
        <v>412</v>
      </c>
      <c r="G332" s="7" t="str">
        <f aca="false">IF(OR(B332="ESP",B332="ARG"),"Finalist","Non-finalist")</f>
        <v>Non-finalist</v>
      </c>
    </row>
    <row r="333" customFormat="false" ht="15" hidden="false" customHeight="false" outlineLevel="0" collapsed="false">
      <c r="A333" s="7" t="s">
        <v>390</v>
      </c>
      <c r="B333" s="7" t="s">
        <v>376</v>
      </c>
      <c r="C333" s="7" t="s">
        <v>26</v>
      </c>
      <c r="D333" s="7" t="n">
        <v>301</v>
      </c>
      <c r="E333" s="7" t="n">
        <v>94</v>
      </c>
      <c r="F333" s="7" t="n">
        <f aca="false">ROUND(D333*E333/100,0)</f>
        <v>283</v>
      </c>
      <c r="G333" s="7" t="str">
        <f aca="false">IF(OR(B333="ESP",B333="ARG"),"Finalist","Non-finalist")</f>
        <v>Non-finalist</v>
      </c>
    </row>
    <row r="334" customFormat="false" ht="15" hidden="false" customHeight="false" outlineLevel="0" collapsed="false">
      <c r="A334" s="7" t="s">
        <v>391</v>
      </c>
      <c r="B334" s="7" t="s">
        <v>392</v>
      </c>
      <c r="C334" s="7" t="s">
        <v>24</v>
      </c>
      <c r="D334" s="7" t="n">
        <v>93</v>
      </c>
      <c r="E334" s="7" t="n">
        <v>84</v>
      </c>
      <c r="F334" s="7" t="n">
        <f aca="false">ROUND(D334*E334/100,0)</f>
        <v>78</v>
      </c>
      <c r="G334" s="7" t="str">
        <f aca="false">IF(OR(B334="ESP",B334="ARG"),"Finalist","Non-finalist")</f>
        <v>Non-finalist</v>
      </c>
    </row>
    <row r="335" customFormat="false" ht="15" hidden="false" customHeight="false" outlineLevel="0" collapsed="false">
      <c r="A335" s="7" t="s">
        <v>393</v>
      </c>
      <c r="B335" s="7" t="s">
        <v>392</v>
      </c>
      <c r="C335" s="7" t="s">
        <v>24</v>
      </c>
      <c r="D335" s="7" t="n">
        <v>99</v>
      </c>
      <c r="E335" s="7" t="n">
        <v>86</v>
      </c>
      <c r="F335" s="7" t="n">
        <f aca="false">ROUND(D335*E335/100,0)</f>
        <v>85</v>
      </c>
      <c r="G335" s="7" t="str">
        <f aca="false">IF(OR(B335="ESP",B335="ARG"),"Finalist","Non-finalist")</f>
        <v>Non-finalist</v>
      </c>
    </row>
    <row r="336" customFormat="false" ht="15" hidden="false" customHeight="false" outlineLevel="0" collapsed="false">
      <c r="A336" s="7" t="s">
        <v>394</v>
      </c>
      <c r="B336" s="7" t="s">
        <v>392</v>
      </c>
      <c r="C336" s="7" t="s">
        <v>26</v>
      </c>
      <c r="D336" s="7" t="n">
        <v>145</v>
      </c>
      <c r="E336" s="7" t="n">
        <v>93</v>
      </c>
      <c r="F336" s="7" t="n">
        <f aca="false">ROUND(D336*E336/100,0)</f>
        <v>135</v>
      </c>
      <c r="G336" s="7" t="str">
        <f aca="false">IF(OR(B336="ESP",B336="ARG"),"Finalist","Non-finalist")</f>
        <v>Non-finalist</v>
      </c>
    </row>
    <row r="337" customFormat="false" ht="15" hidden="false" customHeight="false" outlineLevel="0" collapsed="false">
      <c r="A337" s="7" t="s">
        <v>395</v>
      </c>
      <c r="B337" s="7" t="s">
        <v>392</v>
      </c>
      <c r="C337" s="7" t="s">
        <v>24</v>
      </c>
      <c r="D337" s="7" t="n">
        <v>143</v>
      </c>
      <c r="E337" s="7" t="n">
        <v>84</v>
      </c>
      <c r="F337" s="7" t="n">
        <f aca="false">ROUND(D337*E337/100,0)</f>
        <v>120</v>
      </c>
      <c r="G337" s="7" t="str">
        <f aca="false">IF(OR(B337="ESP",B337="ARG"),"Finalist","Non-finalist")</f>
        <v>Non-finalist</v>
      </c>
    </row>
    <row r="338" customFormat="false" ht="15" hidden="false" customHeight="false" outlineLevel="0" collapsed="false">
      <c r="A338" s="7" t="s">
        <v>396</v>
      </c>
      <c r="B338" s="7" t="s">
        <v>392</v>
      </c>
      <c r="C338" s="7" t="s">
        <v>26</v>
      </c>
      <c r="D338" s="7" t="n">
        <v>88</v>
      </c>
      <c r="E338" s="7" t="n">
        <v>85</v>
      </c>
      <c r="F338" s="7" t="n">
        <f aca="false">ROUND(D338*E338/100,0)</f>
        <v>75</v>
      </c>
      <c r="G338" s="7" t="str">
        <f aca="false">IF(OR(B338="ESP",B338="ARG"),"Finalist","Non-finalist")</f>
        <v>Non-finalist</v>
      </c>
    </row>
    <row r="339" customFormat="false" ht="15" hidden="false" customHeight="false" outlineLevel="0" collapsed="false">
      <c r="A339" s="7" t="s">
        <v>397</v>
      </c>
      <c r="B339" s="7" t="s">
        <v>392</v>
      </c>
      <c r="C339" s="7" t="s">
        <v>24</v>
      </c>
      <c r="D339" s="7" t="n">
        <v>171</v>
      </c>
      <c r="E339" s="7" t="n">
        <v>91</v>
      </c>
      <c r="F339" s="7" t="n">
        <f aca="false">ROUND(D339*E339/100,0)</f>
        <v>156</v>
      </c>
      <c r="G339" s="7" t="str">
        <f aca="false">IF(OR(B339="ESP",B339="ARG"),"Finalist","Non-finalist")</f>
        <v>Non-finalist</v>
      </c>
    </row>
    <row r="340" customFormat="false" ht="15" hidden="false" customHeight="false" outlineLevel="0" collapsed="false">
      <c r="A340" s="7" t="s">
        <v>398</v>
      </c>
      <c r="B340" s="7" t="s">
        <v>392</v>
      </c>
      <c r="C340" s="7" t="s">
        <v>28</v>
      </c>
      <c r="D340" s="7" t="n">
        <v>107</v>
      </c>
      <c r="E340" s="7" t="n">
        <v>73</v>
      </c>
      <c r="F340" s="7" t="n">
        <f aca="false">ROUND(D340*E340/100,0)</f>
        <v>78</v>
      </c>
      <c r="G340" s="7" t="str">
        <f aca="false">IF(OR(B340="ESP",B340="ARG"),"Finalist","Non-finalist")</f>
        <v>Non-finalist</v>
      </c>
    </row>
    <row r="341" customFormat="false" ht="15" hidden="false" customHeight="false" outlineLevel="0" collapsed="false">
      <c r="A341" s="7" t="s">
        <v>399</v>
      </c>
      <c r="B341" s="7" t="s">
        <v>392</v>
      </c>
      <c r="C341" s="7" t="s">
        <v>26</v>
      </c>
      <c r="D341" s="7" t="n">
        <v>115</v>
      </c>
      <c r="E341" s="7" t="n">
        <v>90</v>
      </c>
      <c r="F341" s="7" t="n">
        <f aca="false">ROUND(D341*E341/100,0)</f>
        <v>104</v>
      </c>
      <c r="G341" s="7" t="str">
        <f aca="false">IF(OR(B341="ESP",B341="ARG"),"Finalist","Non-finalist")</f>
        <v>Non-finalist</v>
      </c>
    </row>
    <row r="342" customFormat="false" ht="15" hidden="false" customHeight="false" outlineLevel="0" collapsed="false">
      <c r="A342" s="7" t="s">
        <v>400</v>
      </c>
      <c r="B342" s="7" t="s">
        <v>392</v>
      </c>
      <c r="C342" s="7" t="s">
        <v>26</v>
      </c>
      <c r="D342" s="7" t="n">
        <v>87</v>
      </c>
      <c r="E342" s="7" t="n">
        <v>83</v>
      </c>
      <c r="F342" s="7" t="n">
        <f aca="false">ROUND(D342*E342/100,0)</f>
        <v>72</v>
      </c>
      <c r="G342" s="7" t="str">
        <f aca="false">IF(OR(B342="ESP",B342="ARG"),"Finalist","Non-finalist")</f>
        <v>Non-finalist</v>
      </c>
    </row>
    <row r="343" customFormat="false" ht="15" hidden="false" customHeight="false" outlineLevel="0" collapsed="false">
      <c r="A343" s="7" t="s">
        <v>401</v>
      </c>
      <c r="B343" s="7" t="s">
        <v>402</v>
      </c>
      <c r="C343" s="7" t="s">
        <v>26</v>
      </c>
      <c r="D343" s="7" t="n">
        <v>112</v>
      </c>
      <c r="E343" s="7" t="n">
        <v>79</v>
      </c>
      <c r="F343" s="7" t="n">
        <f aca="false">ROUND(D343*E343/100,0)</f>
        <v>88</v>
      </c>
      <c r="G343" s="7" t="str">
        <f aca="false">IF(OR(B343="ESP",B343="ARG"),"Finalist","Non-finalist")</f>
        <v>Non-finalist</v>
      </c>
    </row>
    <row r="344" customFormat="false" ht="15" hidden="false" customHeight="false" outlineLevel="0" collapsed="false">
      <c r="A344" s="7" t="s">
        <v>403</v>
      </c>
      <c r="B344" s="7" t="s">
        <v>402</v>
      </c>
      <c r="C344" s="7" t="s">
        <v>26</v>
      </c>
      <c r="D344" s="7" t="n">
        <v>178</v>
      </c>
      <c r="E344" s="7" t="n">
        <v>83</v>
      </c>
      <c r="F344" s="7" t="n">
        <f aca="false">ROUND(D344*E344/100,0)</f>
        <v>148</v>
      </c>
      <c r="G344" s="7" t="str">
        <f aca="false">IF(OR(B344="ESP",B344="ARG"),"Finalist","Non-finalist")</f>
        <v>Non-finalist</v>
      </c>
    </row>
    <row r="345" customFormat="false" ht="15" hidden="false" customHeight="false" outlineLevel="0" collapsed="false">
      <c r="A345" s="7" t="s">
        <v>404</v>
      </c>
      <c r="B345" s="7" t="s">
        <v>402</v>
      </c>
      <c r="C345" s="7" t="s">
        <v>26</v>
      </c>
      <c r="D345" s="7" t="n">
        <v>107</v>
      </c>
      <c r="E345" s="7" t="n">
        <v>79</v>
      </c>
      <c r="F345" s="7" t="n">
        <f aca="false">ROUND(D345*E345/100,0)</f>
        <v>85</v>
      </c>
      <c r="G345" s="7" t="str">
        <f aca="false">IF(OR(B345="ESP",B345="ARG"),"Finalist","Non-finalist")</f>
        <v>Non-finalist</v>
      </c>
    </row>
    <row r="346" customFormat="false" ht="15" hidden="false" customHeight="false" outlineLevel="0" collapsed="false">
      <c r="A346" s="7" t="s">
        <v>405</v>
      </c>
      <c r="B346" s="7" t="s">
        <v>402</v>
      </c>
      <c r="C346" s="7" t="s">
        <v>24</v>
      </c>
      <c r="D346" s="7" t="n">
        <v>109</v>
      </c>
      <c r="E346" s="7" t="n">
        <v>88</v>
      </c>
      <c r="F346" s="7" t="n">
        <f aca="false">ROUND(D346*E346/100,0)</f>
        <v>96</v>
      </c>
      <c r="G346" s="7" t="str">
        <f aca="false">IF(OR(B346="ESP",B346="ARG"),"Finalist","Non-finalist")</f>
        <v>Non-finalist</v>
      </c>
    </row>
    <row r="347" customFormat="false" ht="15" hidden="false" customHeight="false" outlineLevel="0" collapsed="false">
      <c r="A347" s="7" t="s">
        <v>406</v>
      </c>
      <c r="B347" s="7" t="s">
        <v>402</v>
      </c>
      <c r="C347" s="7" t="s">
        <v>26</v>
      </c>
      <c r="D347" s="7" t="n">
        <v>121</v>
      </c>
      <c r="E347" s="7" t="n">
        <v>89</v>
      </c>
      <c r="F347" s="7" t="n">
        <f aca="false">ROUND(D347*E347/100,0)</f>
        <v>108</v>
      </c>
      <c r="G347" s="7" t="str">
        <f aca="false">IF(OR(B347="ESP",B347="ARG"),"Finalist","Non-finalist")</f>
        <v>Non-finalist</v>
      </c>
    </row>
    <row r="348" customFormat="false" ht="15" hidden="false" customHeight="false" outlineLevel="0" collapsed="false">
      <c r="A348" s="7" t="s">
        <v>407</v>
      </c>
      <c r="B348" s="7" t="s">
        <v>402</v>
      </c>
      <c r="C348" s="7" t="s">
        <v>26</v>
      </c>
      <c r="D348" s="7" t="n">
        <v>183</v>
      </c>
      <c r="E348" s="7" t="n">
        <v>92</v>
      </c>
      <c r="F348" s="7" t="n">
        <f aca="false">ROUND(D348*E348/100,0)</f>
        <v>168</v>
      </c>
      <c r="G348" s="7" t="str">
        <f aca="false">IF(OR(B348="ESP",B348="ARG"),"Finalist","Non-finalist")</f>
        <v>Non-finalist</v>
      </c>
    </row>
    <row r="349" customFormat="false" ht="15" hidden="false" customHeight="false" outlineLevel="0" collapsed="false">
      <c r="A349" s="7" t="s">
        <v>408</v>
      </c>
      <c r="B349" s="7" t="s">
        <v>402</v>
      </c>
      <c r="C349" s="7" t="s">
        <v>28</v>
      </c>
      <c r="D349" s="7" t="n">
        <v>103</v>
      </c>
      <c r="E349" s="7" t="n">
        <v>72</v>
      </c>
      <c r="F349" s="7" t="n">
        <f aca="false">ROUND(D349*E349/100,0)</f>
        <v>74</v>
      </c>
      <c r="G349" s="7" t="str">
        <f aca="false">IF(OR(B349="ESP",B349="ARG"),"Finalist","Non-finalist")</f>
        <v>Non-finalist</v>
      </c>
    </row>
    <row r="350" customFormat="false" ht="15" hidden="false" customHeight="false" outlineLevel="0" collapsed="false">
      <c r="A350" s="7" t="s">
        <v>409</v>
      </c>
      <c r="B350" s="7" t="s">
        <v>410</v>
      </c>
      <c r="C350" s="7" t="s">
        <v>24</v>
      </c>
      <c r="D350" s="7" t="n">
        <v>117</v>
      </c>
      <c r="E350" s="7" t="n">
        <v>83</v>
      </c>
      <c r="F350" s="7" t="n">
        <f aca="false">ROUND(D350*E350/100,0)</f>
        <v>97</v>
      </c>
      <c r="G350" s="7" t="str">
        <f aca="false">IF(OR(B350="ESP",B350="ARG"),"Finalist","Non-finalist")</f>
        <v>Non-finalist</v>
      </c>
    </row>
    <row r="351" customFormat="false" ht="15" hidden="false" customHeight="false" outlineLevel="0" collapsed="false">
      <c r="A351" s="7" t="s">
        <v>411</v>
      </c>
      <c r="B351" s="7" t="s">
        <v>410</v>
      </c>
      <c r="C351" s="7" t="s">
        <v>24</v>
      </c>
      <c r="D351" s="7" t="n">
        <v>101</v>
      </c>
      <c r="E351" s="7" t="n">
        <v>79</v>
      </c>
      <c r="F351" s="7" t="n">
        <f aca="false">ROUND(D351*E351/100,0)</f>
        <v>80</v>
      </c>
      <c r="G351" s="7" t="str">
        <f aca="false">IF(OR(B351="ESP",B351="ARG"),"Finalist","Non-finalist")</f>
        <v>Non-finalist</v>
      </c>
    </row>
    <row r="352" customFormat="false" ht="15" hidden="false" customHeight="false" outlineLevel="0" collapsed="false">
      <c r="A352" s="7" t="s">
        <v>412</v>
      </c>
      <c r="B352" s="7" t="s">
        <v>410</v>
      </c>
      <c r="C352" s="7" t="s">
        <v>26</v>
      </c>
      <c r="D352" s="7" t="n">
        <v>91</v>
      </c>
      <c r="E352" s="7" t="n">
        <v>88</v>
      </c>
      <c r="F352" s="7" t="n">
        <f aca="false">ROUND(D352*E352/100,0)</f>
        <v>80</v>
      </c>
      <c r="G352" s="7" t="str">
        <f aca="false">IF(OR(B352="ESP",B352="ARG"),"Finalist","Non-finalist")</f>
        <v>Non-finalist</v>
      </c>
    </row>
    <row r="353" customFormat="false" ht="15" hidden="false" customHeight="false" outlineLevel="0" collapsed="false">
      <c r="A353" s="7" t="s">
        <v>413</v>
      </c>
      <c r="B353" s="7" t="s">
        <v>410</v>
      </c>
      <c r="C353" s="7" t="s">
        <v>26</v>
      </c>
      <c r="D353" s="7" t="n">
        <v>129</v>
      </c>
      <c r="E353" s="7" t="n">
        <v>62</v>
      </c>
      <c r="F353" s="7" t="n">
        <f aca="false">ROUND(D353*E353/100,0)</f>
        <v>80</v>
      </c>
      <c r="G353" s="7" t="str">
        <f aca="false">IF(OR(B353="ESP",B353="ARG"),"Finalist","Non-finalist")</f>
        <v>Non-finalist</v>
      </c>
    </row>
    <row r="354" customFormat="false" ht="15" hidden="false" customHeight="false" outlineLevel="0" collapsed="false">
      <c r="A354" s="7" t="s">
        <v>414</v>
      </c>
      <c r="B354" s="7" t="s">
        <v>410</v>
      </c>
      <c r="C354" s="7" t="s">
        <v>26</v>
      </c>
      <c r="D354" s="7" t="n">
        <v>116</v>
      </c>
      <c r="E354" s="7" t="n">
        <v>59</v>
      </c>
      <c r="F354" s="7" t="n">
        <f aca="false">ROUND(D354*E354/100,0)</f>
        <v>68</v>
      </c>
      <c r="G354" s="7" t="str">
        <f aca="false">IF(OR(B354="ESP",B354="ARG"),"Finalist","Non-finalist")</f>
        <v>Non-finalist</v>
      </c>
    </row>
    <row r="355" customFormat="false" ht="15" hidden="false" customHeight="false" outlineLevel="0" collapsed="false">
      <c r="A355" s="7" t="s">
        <v>415</v>
      </c>
      <c r="B355" s="7" t="s">
        <v>410</v>
      </c>
      <c r="C355" s="7" t="s">
        <v>24</v>
      </c>
      <c r="D355" s="7" t="n">
        <v>113</v>
      </c>
      <c r="E355" s="7" t="n">
        <v>73</v>
      </c>
      <c r="F355" s="7" t="n">
        <f aca="false">ROUND(D355*E355/100,0)</f>
        <v>82</v>
      </c>
      <c r="G355" s="7" t="str">
        <f aca="false">IF(OR(B355="ESP",B355="ARG"),"Finalist","Non-finalist")</f>
        <v>Non-finalist</v>
      </c>
    </row>
    <row r="356" customFormat="false" ht="15" hidden="false" customHeight="false" outlineLevel="0" collapsed="false">
      <c r="A356" s="7" t="s">
        <v>416</v>
      </c>
      <c r="B356" s="7" t="s">
        <v>410</v>
      </c>
      <c r="C356" s="7" t="s">
        <v>26</v>
      </c>
      <c r="D356" s="7" t="n">
        <v>97</v>
      </c>
      <c r="E356" s="7" t="n">
        <v>72</v>
      </c>
      <c r="F356" s="7" t="n">
        <f aca="false">ROUND(D356*E356/100,0)</f>
        <v>70</v>
      </c>
      <c r="G356" s="7" t="str">
        <f aca="false">IF(OR(B356="ESP",B356="ARG"),"Finalist","Non-finalist")</f>
        <v>Non-finalist</v>
      </c>
    </row>
    <row r="357" customFormat="false" ht="15" hidden="false" customHeight="false" outlineLevel="0" collapsed="false">
      <c r="A357" s="7" t="s">
        <v>417</v>
      </c>
      <c r="B357" s="7" t="s">
        <v>410</v>
      </c>
      <c r="C357" s="7" t="s">
        <v>28</v>
      </c>
      <c r="D357" s="7" t="n">
        <v>159</v>
      </c>
      <c r="E357" s="7" t="n">
        <v>43</v>
      </c>
      <c r="F357" s="7" t="n">
        <f aca="false">ROUND(D357*E357/100,0)</f>
        <v>68</v>
      </c>
      <c r="G357" s="7" t="str">
        <f aca="false">IF(OR(B357="ESP",B357="ARG"),"Finalist","Non-finalist")</f>
        <v>Non-finalist</v>
      </c>
    </row>
    <row r="358" customFormat="false" ht="15" hidden="false" customHeight="false" outlineLevel="0" collapsed="false">
      <c r="A358" s="7" t="s">
        <v>418</v>
      </c>
      <c r="B358" s="7" t="s">
        <v>419</v>
      </c>
      <c r="C358" s="7" t="s">
        <v>24</v>
      </c>
      <c r="D358" s="7" t="n">
        <v>278</v>
      </c>
      <c r="E358" s="7" t="n">
        <v>86</v>
      </c>
      <c r="F358" s="7" t="n">
        <f aca="false">ROUND(D358*E358/100,0)</f>
        <v>239</v>
      </c>
      <c r="G358" s="7" t="str">
        <f aca="false">IF(OR(B358="ESP",B358="ARG"),"Finalist","Non-finalist")</f>
        <v>Non-finalist</v>
      </c>
    </row>
    <row r="359" customFormat="false" ht="15" hidden="false" customHeight="false" outlineLevel="0" collapsed="false">
      <c r="A359" s="7" t="s">
        <v>420</v>
      </c>
      <c r="B359" s="7" t="s">
        <v>419</v>
      </c>
      <c r="C359" s="7" t="s">
        <v>34</v>
      </c>
      <c r="D359" s="7" t="n">
        <v>99</v>
      </c>
      <c r="E359" s="7" t="n">
        <v>87</v>
      </c>
      <c r="F359" s="7" t="n">
        <f aca="false">ROUND(D359*E359/100,0)</f>
        <v>86</v>
      </c>
      <c r="G359" s="7" t="str">
        <f aca="false">IF(OR(B359="ESP",B359="ARG"),"Finalist","Non-finalist")</f>
        <v>Non-finalist</v>
      </c>
    </row>
    <row r="360" customFormat="false" ht="15" hidden="false" customHeight="false" outlineLevel="0" collapsed="false">
      <c r="A360" s="7" t="s">
        <v>421</v>
      </c>
      <c r="B360" s="7" t="s">
        <v>419</v>
      </c>
      <c r="C360" s="7" t="s">
        <v>28</v>
      </c>
      <c r="D360" s="7" t="n">
        <v>125</v>
      </c>
      <c r="E360" s="7" t="n">
        <v>78</v>
      </c>
      <c r="F360" s="7" t="n">
        <f aca="false">ROUND(D360*E360/100,0)</f>
        <v>98</v>
      </c>
      <c r="G360" s="7" t="str">
        <f aca="false">IF(OR(B360="ESP",B360="ARG"),"Finalist","Non-finalist")</f>
        <v>Non-finalist</v>
      </c>
    </row>
    <row r="361" customFormat="false" ht="15" hidden="false" customHeight="false" outlineLevel="0" collapsed="false">
      <c r="A361" s="7" t="s">
        <v>422</v>
      </c>
      <c r="B361" s="7" t="s">
        <v>419</v>
      </c>
      <c r="C361" s="7" t="s">
        <v>26</v>
      </c>
      <c r="D361" s="7" t="n">
        <v>184</v>
      </c>
      <c r="E361" s="7" t="n">
        <v>87</v>
      </c>
      <c r="F361" s="7" t="n">
        <f aca="false">ROUND(D361*E361/100,0)</f>
        <v>160</v>
      </c>
      <c r="G361" s="7" t="str">
        <f aca="false">IF(OR(B361="ESP",B361="ARG"),"Finalist","Non-finalist")</f>
        <v>Non-finalist</v>
      </c>
    </row>
    <row r="362" customFormat="false" ht="15" hidden="false" customHeight="false" outlineLevel="0" collapsed="false">
      <c r="A362" s="7" t="s">
        <v>423</v>
      </c>
      <c r="B362" s="7" t="s">
        <v>419</v>
      </c>
      <c r="C362" s="7" t="s">
        <v>24</v>
      </c>
      <c r="D362" s="7" t="n">
        <v>261</v>
      </c>
      <c r="E362" s="7" t="n">
        <v>95</v>
      </c>
      <c r="F362" s="7" t="n">
        <f aca="false">ROUND(D362*E362/100,0)</f>
        <v>248</v>
      </c>
      <c r="G362" s="7" t="str">
        <f aca="false">IF(OR(B362="ESP",B362="ARG"),"Finalist","Non-finalist")</f>
        <v>Non-finalist</v>
      </c>
    </row>
    <row r="363" customFormat="false" ht="15" hidden="false" customHeight="false" outlineLevel="0" collapsed="false">
      <c r="A363" s="7" t="s">
        <v>424</v>
      </c>
      <c r="B363" s="7" t="s">
        <v>419</v>
      </c>
      <c r="C363" s="7" t="s">
        <v>26</v>
      </c>
      <c r="D363" s="7" t="n">
        <v>91</v>
      </c>
      <c r="E363" s="7" t="n">
        <v>92</v>
      </c>
      <c r="F363" s="7" t="n">
        <f aca="false">ROUND(D363*E363/100,0)</f>
        <v>84</v>
      </c>
      <c r="G363" s="7" t="str">
        <f aca="false">IF(OR(B363="ESP",B363="ARG"),"Finalist","Non-finalist")</f>
        <v>Non-finalist</v>
      </c>
    </row>
    <row r="364" customFormat="false" ht="15" hidden="false" customHeight="false" outlineLevel="0" collapsed="false">
      <c r="A364" s="7" t="s">
        <v>425</v>
      </c>
      <c r="B364" s="7" t="s">
        <v>419</v>
      </c>
      <c r="C364" s="7" t="s">
        <v>26</v>
      </c>
      <c r="D364" s="7" t="n">
        <v>282</v>
      </c>
      <c r="E364" s="7" t="n">
        <v>85</v>
      </c>
      <c r="F364" s="7" t="n">
        <f aca="false">ROUND(D364*E364/100,0)</f>
        <v>240</v>
      </c>
      <c r="G364" s="7" t="str">
        <f aca="false">IF(OR(B364="ESP",B364="ARG"),"Finalist","Non-finalist")</f>
        <v>Non-finalist</v>
      </c>
    </row>
    <row r="365" customFormat="false" ht="15" hidden="false" customHeight="false" outlineLevel="0" collapsed="false">
      <c r="A365" s="7" t="s">
        <v>426</v>
      </c>
      <c r="B365" s="7" t="s">
        <v>419</v>
      </c>
      <c r="C365" s="7" t="s">
        <v>34</v>
      </c>
      <c r="D365" s="7" t="n">
        <v>155</v>
      </c>
      <c r="E365" s="7" t="n">
        <v>88</v>
      </c>
      <c r="F365" s="7" t="n">
        <f aca="false">ROUND(D365*E365/100,0)</f>
        <v>136</v>
      </c>
      <c r="G365" s="7" t="str">
        <f aca="false">IF(OR(B365="ESP",B365="ARG"),"Finalist","Non-finalist")</f>
        <v>Non-finalist</v>
      </c>
    </row>
    <row r="366" customFormat="false" ht="15" hidden="false" customHeight="false" outlineLevel="0" collapsed="false">
      <c r="A366" s="7" t="s">
        <v>427</v>
      </c>
      <c r="B366" s="7" t="s">
        <v>419</v>
      </c>
      <c r="C366" s="7" t="s">
        <v>26</v>
      </c>
      <c r="D366" s="7" t="n">
        <v>336</v>
      </c>
      <c r="E366" s="7" t="n">
        <v>95</v>
      </c>
      <c r="F366" s="7" t="n">
        <f aca="false">ROUND(D366*E366/100,0)</f>
        <v>319</v>
      </c>
      <c r="G366" s="7" t="str">
        <f aca="false">IF(OR(B366="ESP",B366="ARG"),"Finalist","Non-finalist")</f>
        <v>Non-finalist</v>
      </c>
    </row>
    <row r="367" customFormat="false" ht="15" hidden="false" customHeight="false" outlineLevel="0" collapsed="false">
      <c r="A367" s="7" t="s">
        <v>428</v>
      </c>
      <c r="B367" s="7" t="s">
        <v>419</v>
      </c>
      <c r="C367" s="7" t="s">
        <v>26</v>
      </c>
      <c r="D367" s="7" t="n">
        <v>249</v>
      </c>
      <c r="E367" s="7" t="n">
        <v>94</v>
      </c>
      <c r="F367" s="7" t="n">
        <f aca="false">ROUND(D367*E367/100,0)</f>
        <v>234</v>
      </c>
      <c r="G367" s="7" t="str">
        <f aca="false">IF(OR(B367="ESP",B367="ARG"),"Finalist","Non-finalist")</f>
        <v>Non-finalist</v>
      </c>
    </row>
    <row r="368" customFormat="false" ht="15" hidden="false" customHeight="false" outlineLevel="0" collapsed="false">
      <c r="A368" s="7" t="s">
        <v>429</v>
      </c>
      <c r="B368" s="7" t="s">
        <v>419</v>
      </c>
      <c r="C368" s="7" t="s">
        <v>26</v>
      </c>
      <c r="D368" s="7" t="n">
        <v>102</v>
      </c>
      <c r="E368" s="7" t="n">
        <v>96</v>
      </c>
      <c r="F368" s="7" t="n">
        <f aca="false">ROUND(D368*E368/100,0)</f>
        <v>98</v>
      </c>
      <c r="G368" s="7" t="str">
        <f aca="false">IF(OR(B368="ESP",B368="ARG"),"Finalist","Non-finalist")</f>
        <v>Non-finalist</v>
      </c>
    </row>
    <row r="369" customFormat="false" ht="15" hidden="false" customHeight="false" outlineLevel="0" collapsed="false">
      <c r="A369" s="7" t="s">
        <v>430</v>
      </c>
      <c r="B369" s="7" t="s">
        <v>419</v>
      </c>
      <c r="C369" s="7" t="s">
        <v>24</v>
      </c>
      <c r="D369" s="7" t="n">
        <v>403</v>
      </c>
      <c r="E369" s="7" t="n">
        <v>94</v>
      </c>
      <c r="F369" s="7" t="n">
        <f aca="false">ROUND(D369*E369/100,0)</f>
        <v>379</v>
      </c>
      <c r="G369" s="7" t="str">
        <f aca="false">IF(OR(B369="ESP",B369="ARG"),"Finalist","Non-finalist")</f>
        <v>Non-finalist</v>
      </c>
    </row>
    <row r="370" customFormat="false" ht="15" hidden="false" customHeight="false" outlineLevel="0" collapsed="false">
      <c r="A370" s="7" t="s">
        <v>431</v>
      </c>
      <c r="B370" s="7" t="s">
        <v>432</v>
      </c>
      <c r="C370" s="7" t="s">
        <v>34</v>
      </c>
      <c r="D370" s="7" t="n">
        <v>93</v>
      </c>
      <c r="E370" s="7" t="n">
        <v>78</v>
      </c>
      <c r="F370" s="7" t="n">
        <f aca="false">ROUND(D370*E370/100,0)</f>
        <v>73</v>
      </c>
      <c r="G370" s="7" t="str">
        <f aca="false">IF(OR(B370="ESP",B370="ARG"),"Finalist","Non-finalist")</f>
        <v>Non-finalist</v>
      </c>
    </row>
    <row r="371" customFormat="false" ht="15" hidden="false" customHeight="false" outlineLevel="0" collapsed="false">
      <c r="A371" s="7" t="s">
        <v>433</v>
      </c>
      <c r="B371" s="7" t="s">
        <v>432</v>
      </c>
      <c r="C371" s="7" t="s">
        <v>26</v>
      </c>
      <c r="D371" s="7" t="n">
        <v>117</v>
      </c>
      <c r="E371" s="7" t="n">
        <v>80</v>
      </c>
      <c r="F371" s="7" t="n">
        <f aca="false">ROUND(D371*E371/100,0)</f>
        <v>94</v>
      </c>
      <c r="G371" s="7" t="str">
        <f aca="false">IF(OR(B371="ESP",B371="ARG"),"Finalist","Non-finalist")</f>
        <v>Non-finalist</v>
      </c>
    </row>
    <row r="372" customFormat="false" ht="15" hidden="false" customHeight="false" outlineLevel="0" collapsed="false">
      <c r="A372" s="7" t="s">
        <v>434</v>
      </c>
      <c r="B372" s="7" t="s">
        <v>432</v>
      </c>
      <c r="C372" s="7" t="s">
        <v>26</v>
      </c>
      <c r="D372" s="7" t="n">
        <v>90</v>
      </c>
      <c r="E372" s="7" t="n">
        <v>94</v>
      </c>
      <c r="F372" s="7" t="n">
        <f aca="false">ROUND(D372*E372/100,0)</f>
        <v>85</v>
      </c>
      <c r="G372" s="7" t="str">
        <f aca="false">IF(OR(B372="ESP",B372="ARG"),"Finalist","Non-finalist")</f>
        <v>Non-finalist</v>
      </c>
    </row>
    <row r="373" customFormat="false" ht="15" hidden="false" customHeight="false" outlineLevel="0" collapsed="false">
      <c r="A373" s="7" t="s">
        <v>435</v>
      </c>
      <c r="B373" s="7" t="s">
        <v>432</v>
      </c>
      <c r="C373" s="7" t="s">
        <v>28</v>
      </c>
      <c r="D373" s="7" t="n">
        <v>93</v>
      </c>
      <c r="E373" s="7" t="n">
        <v>54</v>
      </c>
      <c r="F373" s="7" t="n">
        <f aca="false">ROUND(D373*E373/100,0)</f>
        <v>50</v>
      </c>
      <c r="G373" s="7" t="str">
        <f aca="false">IF(OR(B373="ESP",B373="ARG"),"Finalist","Non-finalist")</f>
        <v>Non-finalist</v>
      </c>
    </row>
    <row r="374" customFormat="false" ht="15" hidden="false" customHeight="false" outlineLevel="0" collapsed="false">
      <c r="A374" s="7" t="s">
        <v>436</v>
      </c>
      <c r="B374" s="7" t="s">
        <v>437</v>
      </c>
      <c r="C374" s="7" t="s">
        <v>26</v>
      </c>
      <c r="D374" s="7" t="n">
        <v>139</v>
      </c>
      <c r="E374" s="7" t="n">
        <v>83</v>
      </c>
      <c r="F374" s="7" t="n">
        <f aca="false">ROUND(D374*E374/100,0)</f>
        <v>115</v>
      </c>
      <c r="G374" s="7" t="str">
        <f aca="false">IF(OR(B374="ESP",B374="ARG"),"Finalist","Non-finalist")</f>
        <v>Non-finalist</v>
      </c>
    </row>
    <row r="375" customFormat="false" ht="15" hidden="false" customHeight="false" outlineLevel="0" collapsed="false">
      <c r="A375" s="7" t="s">
        <v>438</v>
      </c>
      <c r="B375" s="7" t="s">
        <v>437</v>
      </c>
      <c r="C375" s="7" t="s">
        <v>26</v>
      </c>
      <c r="D375" s="7" t="n">
        <v>280</v>
      </c>
      <c r="E375" s="7" t="n">
        <v>92</v>
      </c>
      <c r="F375" s="7" t="n">
        <f aca="false">ROUND(D375*E375/100,0)</f>
        <v>258</v>
      </c>
      <c r="G375" s="7" t="str">
        <f aca="false">IF(OR(B375="ESP",B375="ARG"),"Finalist","Non-finalist")</f>
        <v>Non-finalist</v>
      </c>
    </row>
    <row r="376" customFormat="false" ht="15" hidden="false" customHeight="false" outlineLevel="0" collapsed="false">
      <c r="A376" s="7" t="s">
        <v>439</v>
      </c>
      <c r="B376" s="7" t="s">
        <v>437</v>
      </c>
      <c r="C376" s="7" t="s">
        <v>26</v>
      </c>
      <c r="D376" s="7" t="n">
        <v>187</v>
      </c>
      <c r="E376" s="7" t="n">
        <v>90</v>
      </c>
      <c r="F376" s="7" t="n">
        <f aca="false">ROUND(D376*E376/100,0)</f>
        <v>168</v>
      </c>
      <c r="G376" s="7" t="str">
        <f aca="false">IF(OR(B376="ESP",B376="ARG"),"Finalist","Non-finalist")</f>
        <v>Non-finalist</v>
      </c>
    </row>
    <row r="377" customFormat="false" ht="15" hidden="false" customHeight="false" outlineLevel="0" collapsed="false">
      <c r="A377" s="7" t="s">
        <v>440</v>
      </c>
      <c r="B377" s="7" t="s">
        <v>437</v>
      </c>
      <c r="C377" s="7" t="s">
        <v>26</v>
      </c>
      <c r="D377" s="7" t="n">
        <v>213</v>
      </c>
      <c r="E377" s="7" t="n">
        <v>87</v>
      </c>
      <c r="F377" s="7" t="n">
        <f aca="false">ROUND(D377*E377/100,0)</f>
        <v>185</v>
      </c>
      <c r="G377" s="7" t="str">
        <f aca="false">IF(OR(B377="ESP",B377="ARG"),"Finalist","Non-finalist")</f>
        <v>Non-finalist</v>
      </c>
    </row>
    <row r="378" customFormat="false" ht="15" hidden="false" customHeight="false" outlineLevel="0" collapsed="false">
      <c r="A378" s="7" t="s">
        <v>441</v>
      </c>
      <c r="B378" s="7" t="s">
        <v>437</v>
      </c>
      <c r="C378" s="7" t="s">
        <v>34</v>
      </c>
      <c r="D378" s="7" t="n">
        <v>99</v>
      </c>
      <c r="E378" s="7" t="n">
        <v>83</v>
      </c>
      <c r="F378" s="7" t="n">
        <f aca="false">ROUND(D378*E378/100,0)</f>
        <v>82</v>
      </c>
      <c r="G378" s="7" t="str">
        <f aca="false">IF(OR(B378="ESP",B378="ARG"),"Finalist","Non-finalist")</f>
        <v>Non-finalist</v>
      </c>
    </row>
    <row r="379" customFormat="false" ht="15" hidden="false" customHeight="false" outlineLevel="0" collapsed="false">
      <c r="A379" s="7" t="s">
        <v>442</v>
      </c>
      <c r="B379" s="7" t="s">
        <v>437</v>
      </c>
      <c r="C379" s="7" t="s">
        <v>28</v>
      </c>
      <c r="D379" s="7" t="n">
        <v>237</v>
      </c>
      <c r="E379" s="7" t="n">
        <v>76</v>
      </c>
      <c r="F379" s="7" t="n">
        <f aca="false">ROUND(D379*E379/100,0)</f>
        <v>180</v>
      </c>
      <c r="G379" s="7" t="str">
        <f aca="false">IF(OR(B379="ESP",B379="ARG"),"Finalist","Non-finalist")</f>
        <v>Non-finalist</v>
      </c>
    </row>
    <row r="380" customFormat="false" ht="15" hidden="false" customHeight="false" outlineLevel="0" collapsed="false">
      <c r="A380" s="7" t="s">
        <v>443</v>
      </c>
      <c r="B380" s="7" t="s">
        <v>437</v>
      </c>
      <c r="C380" s="7" t="s">
        <v>24</v>
      </c>
      <c r="D380" s="7" t="n">
        <v>129</v>
      </c>
      <c r="E380" s="7" t="n">
        <v>84</v>
      </c>
      <c r="F380" s="7" t="n">
        <f aca="false">ROUND(D380*E380/100,0)</f>
        <v>108</v>
      </c>
      <c r="G380" s="7" t="str">
        <f aca="false">IF(OR(B380="ESP",B380="ARG"),"Finalist","Non-finalist")</f>
        <v>Non-finalist</v>
      </c>
    </row>
    <row r="381" customFormat="false" ht="15" hidden="false" customHeight="false" outlineLevel="0" collapsed="false">
      <c r="A381" s="7" t="s">
        <v>444</v>
      </c>
      <c r="B381" s="7" t="s">
        <v>437</v>
      </c>
      <c r="C381" s="7" t="s">
        <v>24</v>
      </c>
      <c r="D381" s="7" t="n">
        <v>196</v>
      </c>
      <c r="E381" s="7" t="n">
        <v>90</v>
      </c>
      <c r="F381" s="7" t="n">
        <f aca="false">ROUND(D381*E381/100,0)</f>
        <v>176</v>
      </c>
      <c r="G381" s="7" t="str">
        <f aca="false">IF(OR(B381="ESP",B381="ARG"),"Finalist","Non-finalist")</f>
        <v>Non-finalist</v>
      </c>
    </row>
    <row r="382" customFormat="false" ht="15" hidden="false" customHeight="false" outlineLevel="0" collapsed="false">
      <c r="A382" s="7" t="s">
        <v>445</v>
      </c>
      <c r="B382" s="7" t="s">
        <v>437</v>
      </c>
      <c r="C382" s="7" t="s">
        <v>24</v>
      </c>
      <c r="D382" s="7" t="n">
        <v>97</v>
      </c>
      <c r="E382" s="7" t="n">
        <v>85</v>
      </c>
      <c r="F382" s="7" t="n">
        <f aca="false">ROUND(D382*E382/100,0)</f>
        <v>82</v>
      </c>
      <c r="G382" s="7" t="str">
        <f aca="false">IF(OR(B382="ESP",B382="ARG"),"Finalist","Non-finalist")</f>
        <v>Non-finalist</v>
      </c>
    </row>
    <row r="383" customFormat="false" ht="15" hidden="false" customHeight="false" outlineLevel="0" collapsed="false">
      <c r="A383" s="7" t="s">
        <v>446</v>
      </c>
      <c r="B383" s="7" t="s">
        <v>447</v>
      </c>
      <c r="C383" s="7" t="s">
        <v>26</v>
      </c>
      <c r="D383" s="7" t="n">
        <v>153</v>
      </c>
      <c r="E383" s="7" t="n">
        <v>81</v>
      </c>
      <c r="F383" s="7" t="n">
        <f aca="false">ROUND(D383*E383/100,0)</f>
        <v>124</v>
      </c>
      <c r="G383" s="7" t="str">
        <f aca="false">IF(OR(B383="ESP",B383="ARG"),"Finalist","Non-finalist")</f>
        <v>Non-finalist</v>
      </c>
    </row>
    <row r="384" customFormat="false" ht="15" hidden="false" customHeight="false" outlineLevel="0" collapsed="false">
      <c r="A384" s="7" t="s">
        <v>448</v>
      </c>
      <c r="B384" s="7" t="s">
        <v>447</v>
      </c>
      <c r="C384" s="7" t="s">
        <v>28</v>
      </c>
      <c r="D384" s="7" t="n">
        <v>119</v>
      </c>
      <c r="E384" s="7" t="n">
        <v>76</v>
      </c>
      <c r="F384" s="7" t="n">
        <f aca="false">ROUND(D384*E384/100,0)</f>
        <v>90</v>
      </c>
      <c r="G384" s="7" t="str">
        <f aca="false">IF(OR(B384="ESP",B384="ARG"),"Finalist","Non-finalist")</f>
        <v>Non-finalist</v>
      </c>
    </row>
    <row r="385" customFormat="false" ht="15" hidden="false" customHeight="false" outlineLevel="0" collapsed="false">
      <c r="A385" s="7" t="s">
        <v>449</v>
      </c>
      <c r="B385" s="7" t="s">
        <v>447</v>
      </c>
      <c r="C385" s="7" t="s">
        <v>26</v>
      </c>
      <c r="D385" s="7" t="n">
        <v>101</v>
      </c>
      <c r="E385" s="7" t="n">
        <v>93</v>
      </c>
      <c r="F385" s="7" t="n">
        <f aca="false">ROUND(D385*E385/100,0)</f>
        <v>94</v>
      </c>
      <c r="G385" s="7" t="str">
        <f aca="false">IF(OR(B385="ESP",B385="ARG"),"Finalist","Non-finalist")</f>
        <v>Non-finalist</v>
      </c>
    </row>
    <row r="386" customFormat="false" ht="15" hidden="false" customHeight="false" outlineLevel="0" collapsed="false">
      <c r="A386" s="7" t="s">
        <v>450</v>
      </c>
      <c r="B386" s="7" t="s">
        <v>447</v>
      </c>
      <c r="C386" s="7" t="s">
        <v>26</v>
      </c>
      <c r="D386" s="7" t="n">
        <v>180</v>
      </c>
      <c r="E386" s="7" t="n">
        <v>95</v>
      </c>
      <c r="F386" s="7" t="n">
        <f aca="false">ROUND(D386*E386/100,0)</f>
        <v>171</v>
      </c>
      <c r="G386" s="7" t="str">
        <f aca="false">IF(OR(B386="ESP",B386="ARG"),"Finalist","Non-finalist")</f>
        <v>Non-finalist</v>
      </c>
    </row>
    <row r="387" customFormat="false" ht="15" hidden="false" customHeight="false" outlineLevel="0" collapsed="false">
      <c r="A387" s="7" t="s">
        <v>451</v>
      </c>
      <c r="B387" s="7" t="s">
        <v>447</v>
      </c>
      <c r="C387" s="7" t="s">
        <v>24</v>
      </c>
      <c r="D387" s="7" t="n">
        <v>201</v>
      </c>
      <c r="E387" s="7" t="n">
        <v>92</v>
      </c>
      <c r="F387" s="7" t="n">
        <f aca="false">ROUND(D387*E387/100,0)</f>
        <v>185</v>
      </c>
      <c r="G387" s="7" t="str">
        <f aca="false">IF(OR(B387="ESP",B387="ARG"),"Finalist","Non-finalist")</f>
        <v>Non-finalist</v>
      </c>
    </row>
    <row r="388" customFormat="false" ht="15" hidden="false" customHeight="false" outlineLevel="0" collapsed="false">
      <c r="A388" s="7" t="s">
        <v>452</v>
      </c>
      <c r="B388" s="7" t="s">
        <v>447</v>
      </c>
      <c r="C388" s="7" t="s">
        <v>26</v>
      </c>
      <c r="D388" s="7" t="n">
        <v>109</v>
      </c>
      <c r="E388" s="7" t="n">
        <v>86</v>
      </c>
      <c r="F388" s="7" t="n">
        <f aca="false">ROUND(D388*E388/100,0)</f>
        <v>94</v>
      </c>
      <c r="G388" s="7" t="str">
        <f aca="false">IF(OR(B388="ESP",B388="ARG"),"Finalist","Non-finalist")</f>
        <v>Non-finalist</v>
      </c>
    </row>
    <row r="389" customFormat="false" ht="15" hidden="false" customHeight="false" outlineLevel="0" collapsed="false">
      <c r="A389" s="7" t="s">
        <v>453</v>
      </c>
      <c r="B389" s="7" t="s">
        <v>447</v>
      </c>
      <c r="C389" s="7" t="s">
        <v>24</v>
      </c>
      <c r="D389" s="7" t="n">
        <v>96</v>
      </c>
      <c r="E389" s="7" t="n">
        <v>91</v>
      </c>
      <c r="F389" s="7" t="n">
        <f aca="false">ROUND(D389*E389/100,0)</f>
        <v>87</v>
      </c>
      <c r="G389" s="7" t="str">
        <f aca="false">IF(OR(B389="ESP",B389="ARG"),"Finalist","Non-finalist")</f>
        <v>Non-finalist</v>
      </c>
    </row>
    <row r="390" customFormat="false" ht="15" hidden="false" customHeight="false" outlineLevel="0" collapsed="false">
      <c r="A390" s="7" t="s">
        <v>454</v>
      </c>
      <c r="B390" s="7" t="s">
        <v>455</v>
      </c>
      <c r="C390" s="7" t="s">
        <v>26</v>
      </c>
      <c r="D390" s="7" t="n">
        <v>89</v>
      </c>
      <c r="E390" s="7" t="n">
        <v>83</v>
      </c>
      <c r="F390" s="7" t="n">
        <f aca="false">ROUND(D390*E390/100,0)</f>
        <v>74</v>
      </c>
      <c r="G390" s="7" t="str">
        <f aca="false">IF(OR(B390="ESP",B390="ARG"),"Finalist","Non-finalist")</f>
        <v>Non-finalist</v>
      </c>
    </row>
    <row r="391" customFormat="false" ht="15" hidden="false" customHeight="false" outlineLevel="0" collapsed="false">
      <c r="A391" s="7" t="s">
        <v>456</v>
      </c>
      <c r="B391" s="7" t="s">
        <v>455</v>
      </c>
      <c r="C391" s="7" t="s">
        <v>24</v>
      </c>
      <c r="D391" s="7" t="n">
        <v>270</v>
      </c>
      <c r="E391" s="7" t="n">
        <v>90</v>
      </c>
      <c r="F391" s="7" t="n">
        <f aca="false">ROUND(D391*E391/100,0)</f>
        <v>243</v>
      </c>
      <c r="G391" s="7" t="str">
        <f aca="false">IF(OR(B391="ESP",B391="ARG"),"Finalist","Non-finalist")</f>
        <v>Non-finalist</v>
      </c>
    </row>
    <row r="392" customFormat="false" ht="15" hidden="false" customHeight="false" outlineLevel="0" collapsed="false">
      <c r="A392" s="7" t="s">
        <v>457</v>
      </c>
      <c r="B392" s="7" t="s">
        <v>455</v>
      </c>
      <c r="C392" s="7" t="s">
        <v>26</v>
      </c>
      <c r="D392" s="7" t="n">
        <v>117</v>
      </c>
      <c r="E392" s="7" t="n">
        <v>91</v>
      </c>
      <c r="F392" s="7" t="n">
        <f aca="false">ROUND(D392*E392/100,0)</f>
        <v>106</v>
      </c>
      <c r="G392" s="7" t="str">
        <f aca="false">IF(OR(B392="ESP",B392="ARG"),"Finalist","Non-finalist")</f>
        <v>Non-finalist</v>
      </c>
    </row>
    <row r="393" customFormat="false" ht="15" hidden="false" customHeight="false" outlineLevel="0" collapsed="false">
      <c r="A393" s="7" t="s">
        <v>458</v>
      </c>
      <c r="B393" s="7" t="s">
        <v>455</v>
      </c>
      <c r="C393" s="7" t="s">
        <v>26</v>
      </c>
      <c r="D393" s="7" t="n">
        <v>283</v>
      </c>
      <c r="E393" s="7" t="n">
        <v>90</v>
      </c>
      <c r="F393" s="7" t="n">
        <f aca="false">ROUND(D393*E393/100,0)</f>
        <v>255</v>
      </c>
      <c r="G393" s="7" t="str">
        <f aca="false">IF(OR(B393="ESP",B393="ARG"),"Finalist","Non-finalist")</f>
        <v>Non-finalist</v>
      </c>
    </row>
    <row r="394" customFormat="false" ht="15" hidden="false" customHeight="false" outlineLevel="0" collapsed="false">
      <c r="A394" s="7" t="s">
        <v>459</v>
      </c>
      <c r="B394" s="7" t="s">
        <v>455</v>
      </c>
      <c r="C394" s="7" t="s">
        <v>24</v>
      </c>
      <c r="D394" s="7" t="n">
        <v>131</v>
      </c>
      <c r="E394" s="7" t="n">
        <v>89</v>
      </c>
      <c r="F394" s="7" t="n">
        <f aca="false">ROUND(D394*E394/100,0)</f>
        <v>117</v>
      </c>
      <c r="G394" s="7" t="str">
        <f aca="false">IF(OR(B394="ESP",B394="ARG"),"Finalist","Non-finalist")</f>
        <v>Non-finalist</v>
      </c>
    </row>
    <row r="395" customFormat="false" ht="15" hidden="false" customHeight="false" outlineLevel="0" collapsed="false">
      <c r="A395" s="7" t="s">
        <v>460</v>
      </c>
      <c r="B395" s="7" t="s">
        <v>455</v>
      </c>
      <c r="C395" s="7" t="s">
        <v>28</v>
      </c>
      <c r="D395" s="7" t="n">
        <v>95</v>
      </c>
      <c r="E395" s="7" t="n">
        <v>67</v>
      </c>
      <c r="F395" s="7" t="n">
        <f aca="false">ROUND(D395*E395/100,0)</f>
        <v>64</v>
      </c>
      <c r="G395" s="7" t="str">
        <f aca="false">IF(OR(B395="ESP",B395="ARG"),"Finalist","Non-finalist")</f>
        <v>Non-finalist</v>
      </c>
    </row>
    <row r="396" customFormat="false" ht="15" hidden="false" customHeight="false" outlineLevel="0" collapsed="false">
      <c r="A396" s="7" t="s">
        <v>461</v>
      </c>
      <c r="B396" s="7" t="s">
        <v>455</v>
      </c>
      <c r="C396" s="7" t="s">
        <v>26</v>
      </c>
      <c r="D396" s="7" t="n">
        <v>290</v>
      </c>
      <c r="E396" s="7" t="n">
        <v>93</v>
      </c>
      <c r="F396" s="7" t="n">
        <f aca="false">ROUND(D396*E396/100,0)</f>
        <v>270</v>
      </c>
      <c r="G396" s="7" t="str">
        <f aca="false">IF(OR(B396="ESP",B396="ARG"),"Finalist","Non-finalist")</f>
        <v>Non-finalist</v>
      </c>
    </row>
    <row r="397" customFormat="false" ht="15" hidden="false" customHeight="false" outlineLevel="0" collapsed="false">
      <c r="A397" s="7" t="s">
        <v>462</v>
      </c>
      <c r="B397" s="7" t="s">
        <v>455</v>
      </c>
      <c r="C397" s="7" t="s">
        <v>24</v>
      </c>
      <c r="D397" s="7" t="n">
        <v>161</v>
      </c>
      <c r="E397" s="7" t="n">
        <v>86</v>
      </c>
      <c r="F397" s="7" t="n">
        <f aca="false">ROUND(D397*E397/100,0)</f>
        <v>138</v>
      </c>
      <c r="G397" s="7" t="str">
        <f aca="false">IF(OR(B397="ESP",B397="ARG"),"Finalist","Non-finalist")</f>
        <v>Non-finalist</v>
      </c>
    </row>
    <row r="398" customFormat="false" ht="15" hidden="false" customHeight="false" outlineLevel="0" collapsed="false">
      <c r="A398" s="7" t="s">
        <v>463</v>
      </c>
      <c r="B398" s="7" t="s">
        <v>455</v>
      </c>
      <c r="C398" s="7" t="s">
        <v>24</v>
      </c>
      <c r="D398" s="7" t="n">
        <v>139</v>
      </c>
      <c r="E398" s="7" t="n">
        <v>92</v>
      </c>
      <c r="F398" s="7" t="n">
        <f aca="false">ROUND(D398*E398/100,0)</f>
        <v>128</v>
      </c>
      <c r="G398" s="7" t="str">
        <f aca="false">IF(OR(B398="ESP",B398="ARG"),"Finalist","Non-finalist")</f>
        <v>Non-finalist</v>
      </c>
    </row>
    <row r="399" customFormat="false" ht="15" hidden="false" customHeight="false" outlineLevel="0" collapsed="false">
      <c r="A399" s="7" t="s">
        <v>464</v>
      </c>
      <c r="B399" s="7" t="s">
        <v>455</v>
      </c>
      <c r="C399" s="7" t="s">
        <v>34</v>
      </c>
      <c r="D399" s="7" t="n">
        <v>129</v>
      </c>
      <c r="E399" s="7" t="n">
        <v>82</v>
      </c>
      <c r="F399" s="7" t="n">
        <f aca="false">ROUND(D399*E399/100,0)</f>
        <v>106</v>
      </c>
      <c r="G399" s="7" t="str">
        <f aca="false">IF(OR(B399="ESP",B399="ARG"),"Finalist","Non-finalist")</f>
        <v>Non-finalist</v>
      </c>
    </row>
    <row r="400" customFormat="false" ht="15" hidden="false" customHeight="false" outlineLevel="0" collapsed="false">
      <c r="A400" s="7" t="s">
        <v>465</v>
      </c>
      <c r="B400" s="7" t="s">
        <v>466</v>
      </c>
      <c r="C400" s="7" t="s">
        <v>34</v>
      </c>
      <c r="D400" s="7" t="n">
        <v>92</v>
      </c>
      <c r="E400" s="7" t="n">
        <v>79</v>
      </c>
      <c r="F400" s="7" t="n">
        <f aca="false">ROUND(D400*E400/100,0)</f>
        <v>73</v>
      </c>
      <c r="G400" s="7" t="str">
        <f aca="false">IF(OR(B400="ESP",B400="ARG"),"Finalist","Non-finalist")</f>
        <v>Non-finalist</v>
      </c>
    </row>
    <row r="401" customFormat="false" ht="15" hidden="false" customHeight="false" outlineLevel="0" collapsed="false">
      <c r="A401" s="7" t="s">
        <v>467</v>
      </c>
      <c r="B401" s="7" t="s">
        <v>466</v>
      </c>
      <c r="C401" s="7" t="s">
        <v>24</v>
      </c>
      <c r="D401" s="7" t="n">
        <v>185</v>
      </c>
      <c r="E401" s="7" t="n">
        <v>86</v>
      </c>
      <c r="F401" s="7" t="n">
        <f aca="false">ROUND(D401*E401/100,0)</f>
        <v>159</v>
      </c>
      <c r="G401" s="7" t="str">
        <f aca="false">IF(OR(B401="ESP",B401="ARG"),"Finalist","Non-finalist")</f>
        <v>Non-finalist</v>
      </c>
    </row>
    <row r="402" customFormat="false" ht="15" hidden="false" customHeight="false" outlineLevel="0" collapsed="false">
      <c r="A402" s="7" t="s">
        <v>468</v>
      </c>
      <c r="B402" s="7" t="s">
        <v>466</v>
      </c>
      <c r="C402" s="7" t="s">
        <v>24</v>
      </c>
      <c r="D402" s="7" t="n">
        <v>97</v>
      </c>
      <c r="E402" s="7" t="n">
        <v>86</v>
      </c>
      <c r="F402" s="7" t="n">
        <f aca="false">ROUND(D402*E402/100,0)</f>
        <v>83</v>
      </c>
      <c r="G402" s="7" t="str">
        <f aca="false">IF(OR(B402="ESP",B402="ARG"),"Finalist","Non-finalist")</f>
        <v>Non-finalist</v>
      </c>
    </row>
    <row r="403" customFormat="false" ht="15" hidden="false" customHeight="false" outlineLevel="0" collapsed="false">
      <c r="A403" s="7" t="s">
        <v>469</v>
      </c>
      <c r="B403" s="7" t="s">
        <v>466</v>
      </c>
      <c r="C403" s="7" t="s">
        <v>24</v>
      </c>
      <c r="D403" s="7" t="n">
        <v>87</v>
      </c>
      <c r="E403" s="7" t="n">
        <v>82</v>
      </c>
      <c r="F403" s="7" t="n">
        <f aca="false">ROUND(D403*E403/100,0)</f>
        <v>71</v>
      </c>
      <c r="G403" s="7" t="str">
        <f aca="false">IF(OR(B403="ESP",B403="ARG"),"Finalist","Non-finalist")</f>
        <v>Non-finalist</v>
      </c>
    </row>
    <row r="404" customFormat="false" ht="15" hidden="false" customHeight="false" outlineLevel="0" collapsed="false">
      <c r="A404" s="7" t="s">
        <v>470</v>
      </c>
      <c r="B404" s="7" t="s">
        <v>466</v>
      </c>
      <c r="C404" s="7" t="s">
        <v>24</v>
      </c>
      <c r="D404" s="7" t="n">
        <v>470</v>
      </c>
      <c r="E404" s="7" t="n">
        <v>91</v>
      </c>
      <c r="F404" s="7" t="n">
        <f aca="false">ROUND(D404*E404/100,0)</f>
        <v>428</v>
      </c>
      <c r="G404" s="7" t="str">
        <f aca="false">IF(OR(B404="ESP",B404="ARG"),"Finalist","Non-finalist")</f>
        <v>Non-finalist</v>
      </c>
    </row>
    <row r="405" customFormat="false" ht="15" hidden="false" customHeight="false" outlineLevel="0" collapsed="false">
      <c r="A405" s="7" t="s">
        <v>471</v>
      </c>
      <c r="B405" s="7" t="s">
        <v>466</v>
      </c>
      <c r="C405" s="7" t="s">
        <v>28</v>
      </c>
      <c r="D405" s="7" t="n">
        <v>255</v>
      </c>
      <c r="E405" s="7" t="n">
        <v>75</v>
      </c>
      <c r="F405" s="7" t="n">
        <f aca="false">ROUND(D405*E405/100,0)</f>
        <v>191</v>
      </c>
      <c r="G405" s="7" t="str">
        <f aca="false">IF(OR(B405="ESP",B405="ARG"),"Finalist","Non-finalist")</f>
        <v>Non-finalist</v>
      </c>
    </row>
    <row r="406" customFormat="false" ht="15" hidden="false" customHeight="false" outlineLevel="0" collapsed="false">
      <c r="A406" s="7" t="s">
        <v>472</v>
      </c>
      <c r="B406" s="7" t="s">
        <v>466</v>
      </c>
      <c r="C406" s="7" t="s">
        <v>26</v>
      </c>
      <c r="D406" s="7" t="n">
        <v>479</v>
      </c>
      <c r="E406" s="7" t="n">
        <v>93</v>
      </c>
      <c r="F406" s="7" t="n">
        <f aca="false">ROUND(D406*E406/100,0)</f>
        <v>445</v>
      </c>
      <c r="G406" s="7" t="str">
        <f aca="false">IF(OR(B406="ESP",B406="ARG"),"Finalist","Non-finalist")</f>
        <v>Non-finalist</v>
      </c>
    </row>
    <row r="407" customFormat="false" ht="15" hidden="false" customHeight="false" outlineLevel="0" collapsed="false">
      <c r="A407" s="7" t="s">
        <v>473</v>
      </c>
      <c r="B407" s="7" t="s">
        <v>466</v>
      </c>
      <c r="C407" s="7" t="s">
        <v>26</v>
      </c>
      <c r="D407" s="7" t="n">
        <v>438</v>
      </c>
      <c r="E407" s="7" t="n">
        <v>93</v>
      </c>
      <c r="F407" s="7" t="n">
        <f aca="false">ROUND(D407*E407/100,0)</f>
        <v>407</v>
      </c>
      <c r="G407" s="7" t="str">
        <f aca="false">IF(OR(B407="ESP",B407="ARG"),"Finalist","Non-finalist")</f>
        <v>Non-finalist</v>
      </c>
    </row>
    <row r="408" customFormat="false" ht="15" hidden="false" customHeight="false" outlineLevel="0" collapsed="false">
      <c r="A408" s="7" t="s">
        <v>474</v>
      </c>
      <c r="B408" s="7" t="s">
        <v>466</v>
      </c>
      <c r="C408" s="7" t="s">
        <v>24</v>
      </c>
      <c r="D408" s="7" t="n">
        <v>324</v>
      </c>
      <c r="E408" s="7" t="n">
        <v>92</v>
      </c>
      <c r="F408" s="7" t="n">
        <f aca="false">ROUND(D408*E408/100,0)</f>
        <v>298</v>
      </c>
      <c r="G408" s="7" t="str">
        <f aca="false">IF(OR(B408="ESP",B408="ARG"),"Finalist","Non-finalist")</f>
        <v>Non-finalist</v>
      </c>
    </row>
    <row r="409" customFormat="false" ht="15" hidden="false" customHeight="false" outlineLevel="0" collapsed="false">
      <c r="A409" s="7" t="s">
        <v>475</v>
      </c>
      <c r="B409" s="7" t="s">
        <v>466</v>
      </c>
      <c r="C409" s="7" t="s">
        <v>26</v>
      </c>
      <c r="D409" s="7" t="n">
        <v>295</v>
      </c>
      <c r="E409" s="7" t="n">
        <v>82</v>
      </c>
      <c r="F409" s="7" t="n">
        <f aca="false">ROUND(D409*E409/100,0)</f>
        <v>242</v>
      </c>
      <c r="G409" s="7" t="str">
        <f aca="false">IF(OR(B409="ESP",B409="ARG"),"Finalist","Non-finalist")</f>
        <v>Non-finalist</v>
      </c>
    </row>
    <row r="410" customFormat="false" ht="15" hidden="false" customHeight="false" outlineLevel="0" collapsed="false">
      <c r="A410" s="7" t="s">
        <v>476</v>
      </c>
      <c r="B410" s="7" t="s">
        <v>466</v>
      </c>
      <c r="C410" s="7" t="s">
        <v>34</v>
      </c>
      <c r="D410" s="7" t="n">
        <v>88</v>
      </c>
      <c r="E410" s="7" t="n">
        <v>74</v>
      </c>
      <c r="F410" s="7" t="n">
        <f aca="false">ROUND(D410*E410/100,0)</f>
        <v>65</v>
      </c>
      <c r="G410" s="7" t="str">
        <f aca="false">IF(OR(B410="ESP",B410="ARG"),"Finalist","Non-finalist")</f>
        <v>Non-finalist</v>
      </c>
    </row>
    <row r="411" customFormat="false" ht="15" hidden="false" customHeight="false" outlineLevel="0" collapsed="false">
      <c r="A411" s="7" t="s">
        <v>477</v>
      </c>
      <c r="B411" s="7" t="s">
        <v>478</v>
      </c>
      <c r="C411" s="7" t="s">
        <v>26</v>
      </c>
      <c r="D411" s="7" t="n">
        <v>147</v>
      </c>
      <c r="E411" s="7" t="n">
        <v>76</v>
      </c>
      <c r="F411" s="7" t="n">
        <f aca="false">ROUND(D411*E411/100,0)</f>
        <v>112</v>
      </c>
      <c r="G411" s="7" t="str">
        <f aca="false">IF(OR(B411="ESP",B411="ARG"),"Finalist","Non-finalist")</f>
        <v>Non-finalist</v>
      </c>
    </row>
    <row r="412" customFormat="false" ht="15" hidden="false" customHeight="false" outlineLevel="0" collapsed="false">
      <c r="A412" s="7" t="s">
        <v>479</v>
      </c>
      <c r="B412" s="7" t="s">
        <v>478</v>
      </c>
      <c r="C412" s="7" t="s">
        <v>26</v>
      </c>
      <c r="D412" s="7" t="n">
        <v>206</v>
      </c>
      <c r="E412" s="7" t="n">
        <v>84</v>
      </c>
      <c r="F412" s="7" t="n">
        <f aca="false">ROUND(D412*E412/100,0)</f>
        <v>173</v>
      </c>
      <c r="G412" s="7" t="str">
        <f aca="false">IF(OR(B412="ESP",B412="ARG"),"Finalist","Non-finalist")</f>
        <v>Non-finalist</v>
      </c>
    </row>
    <row r="413" customFormat="false" ht="15" hidden="false" customHeight="false" outlineLevel="0" collapsed="false">
      <c r="A413" s="7" t="s">
        <v>480</v>
      </c>
      <c r="B413" s="7" t="s">
        <v>478</v>
      </c>
      <c r="C413" s="7" t="s">
        <v>26</v>
      </c>
      <c r="D413" s="7" t="n">
        <v>128</v>
      </c>
      <c r="E413" s="7" t="n">
        <v>95</v>
      </c>
      <c r="F413" s="7" t="n">
        <f aca="false">ROUND(D413*E413/100,0)</f>
        <v>122</v>
      </c>
      <c r="G413" s="7" t="str">
        <f aca="false">IF(OR(B413="ESP",B413="ARG"),"Finalist","Non-finalist")</f>
        <v>Non-finalist</v>
      </c>
    </row>
    <row r="414" customFormat="false" ht="15" hidden="false" customHeight="false" outlineLevel="0" collapsed="false">
      <c r="A414" s="7" t="s">
        <v>481</v>
      </c>
      <c r="B414" s="7" t="s">
        <v>478</v>
      </c>
      <c r="C414" s="7" t="s">
        <v>24</v>
      </c>
      <c r="D414" s="7" t="n">
        <v>88</v>
      </c>
      <c r="E414" s="7" t="n">
        <v>91</v>
      </c>
      <c r="F414" s="7" t="n">
        <f aca="false">ROUND(D414*E414/100,0)</f>
        <v>80</v>
      </c>
      <c r="G414" s="7" t="str">
        <f aca="false">IF(OR(B414="ESP",B414="ARG"),"Finalist","Non-finalist")</f>
        <v>Non-finalist</v>
      </c>
    </row>
    <row r="415" customFormat="false" ht="15" hidden="false" customHeight="false" outlineLevel="0" collapsed="false">
      <c r="A415" s="7" t="s">
        <v>482</v>
      </c>
      <c r="B415" s="7" t="s">
        <v>478</v>
      </c>
      <c r="C415" s="7" t="s">
        <v>26</v>
      </c>
      <c r="D415" s="7" t="n">
        <v>200</v>
      </c>
      <c r="E415" s="7" t="n">
        <v>95</v>
      </c>
      <c r="F415" s="7" t="n">
        <f aca="false">ROUND(D415*E415/100,0)</f>
        <v>190</v>
      </c>
      <c r="G415" s="7" t="str">
        <f aca="false">IF(OR(B415="ESP",B415="ARG"),"Finalist","Non-finalist")</f>
        <v>Non-finalist</v>
      </c>
    </row>
    <row r="416" customFormat="false" ht="15" hidden="false" customHeight="false" outlineLevel="0" collapsed="false">
      <c r="A416" s="7" t="s">
        <v>483</v>
      </c>
      <c r="B416" s="7" t="s">
        <v>478</v>
      </c>
      <c r="C416" s="7" t="s">
        <v>24</v>
      </c>
      <c r="D416" s="7" t="n">
        <v>107</v>
      </c>
      <c r="E416" s="7" t="n">
        <v>79</v>
      </c>
      <c r="F416" s="7" t="n">
        <f aca="false">ROUND(D416*E416/100,0)</f>
        <v>85</v>
      </c>
      <c r="G416" s="7" t="str">
        <f aca="false">IF(OR(B416="ESP",B416="ARG"),"Finalist","Non-finalist")</f>
        <v>Non-finalist</v>
      </c>
    </row>
    <row r="417" customFormat="false" ht="15" hidden="false" customHeight="false" outlineLevel="0" collapsed="false">
      <c r="A417" s="7" t="s">
        <v>484</v>
      </c>
      <c r="B417" s="7" t="s">
        <v>485</v>
      </c>
      <c r="C417" s="7" t="s">
        <v>24</v>
      </c>
      <c r="D417" s="7" t="n">
        <v>109</v>
      </c>
      <c r="E417" s="7" t="n">
        <v>91</v>
      </c>
      <c r="F417" s="7" t="n">
        <f aca="false">ROUND(D417*E417/100,0)</f>
        <v>99</v>
      </c>
      <c r="G417" s="7" t="str">
        <f aca="false">IF(OR(B417="ESP",B417="ARG"),"Finalist","Non-finalist")</f>
        <v>Non-finalist</v>
      </c>
    </row>
    <row r="418" customFormat="false" ht="15" hidden="false" customHeight="false" outlineLevel="0" collapsed="false">
      <c r="A418" s="7" t="s">
        <v>486</v>
      </c>
      <c r="B418" s="7" t="s">
        <v>485</v>
      </c>
      <c r="C418" s="7" t="s">
        <v>24</v>
      </c>
      <c r="D418" s="7" t="n">
        <v>123</v>
      </c>
      <c r="E418" s="7" t="n">
        <v>76</v>
      </c>
      <c r="F418" s="7" t="n">
        <f aca="false">ROUND(D418*E418/100,0)</f>
        <v>93</v>
      </c>
      <c r="G418" s="7" t="str">
        <f aca="false">IF(OR(B418="ESP",B418="ARG"),"Finalist","Non-finalist")</f>
        <v>Non-finalist</v>
      </c>
    </row>
    <row r="419" customFormat="false" ht="15" hidden="false" customHeight="false" outlineLevel="0" collapsed="false">
      <c r="A419" s="7" t="s">
        <v>487</v>
      </c>
      <c r="B419" s="7" t="s">
        <v>485</v>
      </c>
      <c r="C419" s="7" t="s">
        <v>26</v>
      </c>
      <c r="D419" s="7" t="n">
        <v>98</v>
      </c>
      <c r="E419" s="7" t="n">
        <v>83</v>
      </c>
      <c r="F419" s="7" t="n">
        <f aca="false">ROUND(D419*E419/100,0)</f>
        <v>81</v>
      </c>
      <c r="G419" s="7" t="str">
        <f aca="false">IF(OR(B419="ESP",B419="ARG"),"Finalist","Non-finalist")</f>
        <v>Non-finalist</v>
      </c>
    </row>
    <row r="420" customFormat="false" ht="15" hidden="false" customHeight="false" outlineLevel="0" collapsed="false">
      <c r="A420" s="7" t="s">
        <v>488</v>
      </c>
      <c r="B420" s="7" t="s">
        <v>485</v>
      </c>
      <c r="C420" s="7" t="s">
        <v>26</v>
      </c>
      <c r="D420" s="7" t="n">
        <v>113</v>
      </c>
      <c r="E420" s="7" t="n">
        <v>95</v>
      </c>
      <c r="F420" s="7" t="n">
        <f aca="false">ROUND(D420*E420/100,0)</f>
        <v>107</v>
      </c>
      <c r="G420" s="7" t="str">
        <f aca="false">IF(OR(B420="ESP",B420="ARG"),"Finalist","Non-finalist")</f>
        <v>Non-finalist</v>
      </c>
    </row>
    <row r="421" customFormat="false" ht="15" hidden="false" customHeight="false" outlineLevel="0" collapsed="false">
      <c r="A421" s="7" t="s">
        <v>489</v>
      </c>
      <c r="B421" s="7" t="s">
        <v>485</v>
      </c>
      <c r="C421" s="7" t="s">
        <v>26</v>
      </c>
      <c r="D421" s="7" t="n">
        <v>93</v>
      </c>
      <c r="E421" s="7" t="n">
        <v>83</v>
      </c>
      <c r="F421" s="7" t="n">
        <f aca="false">ROUND(D421*E421/100,0)</f>
        <v>77</v>
      </c>
      <c r="G421" s="7" t="str">
        <f aca="false">IF(OR(B421="ESP",B421="ARG"),"Finalist","Non-finalist")</f>
        <v>Non-finalist</v>
      </c>
    </row>
    <row r="422" customFormat="false" ht="15" hidden="false" customHeight="false" outlineLevel="0" collapsed="false">
      <c r="A422" s="7" t="s">
        <v>490</v>
      </c>
      <c r="B422" s="7" t="s">
        <v>491</v>
      </c>
      <c r="C422" s="7" t="s">
        <v>26</v>
      </c>
      <c r="D422" s="7" t="n">
        <v>242</v>
      </c>
      <c r="E422" s="7" t="n">
        <v>92</v>
      </c>
      <c r="F422" s="7" t="n">
        <f aca="false">ROUND(D422*E422/100,0)</f>
        <v>223</v>
      </c>
      <c r="G422" s="7" t="str">
        <f aca="false">IF(OR(B422="ESP",B422="ARG"),"Finalist","Non-finalist")</f>
        <v>Non-finalist</v>
      </c>
    </row>
    <row r="423" customFormat="false" ht="15" hidden="false" customHeight="false" outlineLevel="0" collapsed="false">
      <c r="A423" s="7" t="s">
        <v>492</v>
      </c>
      <c r="B423" s="7" t="s">
        <v>491</v>
      </c>
      <c r="C423" s="7" t="s">
        <v>34</v>
      </c>
      <c r="D423" s="7" t="n">
        <v>198</v>
      </c>
      <c r="E423" s="7" t="n">
        <v>86</v>
      </c>
      <c r="F423" s="7" t="n">
        <f aca="false">ROUND(D423*E423/100,0)</f>
        <v>170</v>
      </c>
      <c r="G423" s="7" t="str">
        <f aca="false">IF(OR(B423="ESP",B423="ARG"),"Finalist","Non-finalist")</f>
        <v>Non-finalist</v>
      </c>
    </row>
    <row r="424" customFormat="false" ht="15" hidden="false" customHeight="false" outlineLevel="0" collapsed="false">
      <c r="A424" s="7" t="s">
        <v>493</v>
      </c>
      <c r="B424" s="7" t="s">
        <v>491</v>
      </c>
      <c r="C424" s="7" t="s">
        <v>26</v>
      </c>
      <c r="D424" s="7" t="n">
        <v>175</v>
      </c>
      <c r="E424" s="7" t="n">
        <v>92</v>
      </c>
      <c r="F424" s="7" t="n">
        <f aca="false">ROUND(D424*E424/100,0)</f>
        <v>161</v>
      </c>
      <c r="G424" s="7" t="str">
        <f aca="false">IF(OR(B424="ESP",B424="ARG"),"Finalist","Non-finalist")</f>
        <v>Non-finalist</v>
      </c>
    </row>
    <row r="425" customFormat="false" ht="15" hidden="false" customHeight="false" outlineLevel="0" collapsed="false">
      <c r="A425" s="7" t="s">
        <v>494</v>
      </c>
      <c r="B425" s="7" t="s">
        <v>491</v>
      </c>
      <c r="C425" s="7" t="s">
        <v>24</v>
      </c>
      <c r="D425" s="7" t="n">
        <v>190</v>
      </c>
      <c r="E425" s="7" t="n">
        <v>90</v>
      </c>
      <c r="F425" s="7" t="n">
        <f aca="false">ROUND(D425*E425/100,0)</f>
        <v>171</v>
      </c>
      <c r="G425" s="7" t="str">
        <f aca="false">IF(OR(B425="ESP",B425="ARG"),"Finalist","Non-finalist")</f>
        <v>Non-finalist</v>
      </c>
    </row>
    <row r="426" customFormat="false" ht="15" hidden="false" customHeight="false" outlineLevel="0" collapsed="false">
      <c r="A426" s="7" t="s">
        <v>495</v>
      </c>
      <c r="B426" s="7" t="s">
        <v>491</v>
      </c>
      <c r="C426" s="7" t="s">
        <v>24</v>
      </c>
      <c r="D426" s="7" t="n">
        <v>111</v>
      </c>
      <c r="E426" s="7" t="n">
        <v>94</v>
      </c>
      <c r="F426" s="7" t="n">
        <f aca="false">ROUND(D426*E426/100,0)</f>
        <v>104</v>
      </c>
      <c r="G426" s="7" t="str">
        <f aca="false">IF(OR(B426="ESP",B426="ARG"),"Finalist","Non-finalist")</f>
        <v>Non-finalist</v>
      </c>
    </row>
    <row r="427" customFormat="false" ht="15" hidden="false" customHeight="false" outlineLevel="0" collapsed="false">
      <c r="A427" s="7" t="s">
        <v>496</v>
      </c>
      <c r="B427" s="7" t="s">
        <v>491</v>
      </c>
      <c r="C427" s="7" t="s">
        <v>34</v>
      </c>
      <c r="D427" s="7" t="n">
        <v>121</v>
      </c>
      <c r="E427" s="7" t="n">
        <v>89</v>
      </c>
      <c r="F427" s="7" t="n">
        <f aca="false">ROUND(D427*E427/100,0)</f>
        <v>108</v>
      </c>
      <c r="G427" s="7" t="str">
        <f aca="false">IF(OR(B427="ESP",B427="ARG"),"Finalist","Non-finalist")</f>
        <v>Non-finalist</v>
      </c>
    </row>
    <row r="428" customFormat="false" ht="15" hidden="false" customHeight="false" outlineLevel="0" collapsed="false">
      <c r="A428" s="7" t="s">
        <v>497</v>
      </c>
      <c r="B428" s="7" t="s">
        <v>491</v>
      </c>
      <c r="C428" s="7" t="s">
        <v>26</v>
      </c>
      <c r="D428" s="7" t="n">
        <v>124</v>
      </c>
      <c r="E428" s="7" t="n">
        <v>96</v>
      </c>
      <c r="F428" s="7" t="n">
        <f aca="false">ROUND(D428*E428/100,0)</f>
        <v>119</v>
      </c>
      <c r="G428" s="7" t="str">
        <f aca="false">IF(OR(B428="ESP",B428="ARG"),"Finalist","Non-finalist")</f>
        <v>Non-finalist</v>
      </c>
    </row>
    <row r="429" customFormat="false" ht="15" hidden="false" customHeight="false" outlineLevel="0" collapsed="false">
      <c r="A429" s="7" t="s">
        <v>498</v>
      </c>
      <c r="B429" s="7" t="s">
        <v>491</v>
      </c>
      <c r="C429" s="7" t="s">
        <v>24</v>
      </c>
      <c r="D429" s="7" t="n">
        <v>85</v>
      </c>
      <c r="E429" s="7" t="n">
        <v>71</v>
      </c>
      <c r="F429" s="7" t="n">
        <f aca="false">ROUND(D429*E429/100,0)</f>
        <v>60</v>
      </c>
      <c r="G429" s="7" t="str">
        <f aca="false">IF(OR(B429="ESP",B429="ARG"),"Finalist","Non-finalist")</f>
        <v>Non-finalist</v>
      </c>
    </row>
    <row r="430" customFormat="false" ht="15" hidden="false" customHeight="false" outlineLevel="0" collapsed="false">
      <c r="A430" s="7" t="s">
        <v>499</v>
      </c>
      <c r="B430" s="7" t="s">
        <v>491</v>
      </c>
      <c r="C430" s="7" t="s">
        <v>28</v>
      </c>
      <c r="D430" s="7" t="n">
        <v>98</v>
      </c>
      <c r="E430" s="7" t="n">
        <v>79</v>
      </c>
      <c r="F430" s="7" t="n">
        <f aca="false">ROUND(D430*E430/100,0)</f>
        <v>77</v>
      </c>
      <c r="G430" s="7" t="str">
        <f aca="false">IF(OR(B430="ESP",B430="ARG"),"Finalist","Non-finalist")</f>
        <v>Non-finalist</v>
      </c>
    </row>
    <row r="431" customFormat="false" ht="15" hidden="false" customHeight="false" outlineLevel="0" collapsed="false">
      <c r="A431" s="7" t="s">
        <v>500</v>
      </c>
      <c r="B431" s="7" t="s">
        <v>501</v>
      </c>
      <c r="C431" s="7" t="s">
        <v>24</v>
      </c>
      <c r="D431" s="7" t="n">
        <v>120</v>
      </c>
      <c r="E431" s="7" t="n">
        <v>82</v>
      </c>
      <c r="F431" s="7" t="n">
        <f aca="false">ROUND(D431*E431/100,0)</f>
        <v>98</v>
      </c>
      <c r="G431" s="7" t="str">
        <f aca="false">IF(OR(B431="ESP",B431="ARG"),"Finalist","Non-finalist")</f>
        <v>Non-finalist</v>
      </c>
    </row>
    <row r="432" customFormat="false" ht="15" hidden="false" customHeight="false" outlineLevel="0" collapsed="false">
      <c r="A432" s="7" t="s">
        <v>502</v>
      </c>
      <c r="B432" s="7" t="s">
        <v>501</v>
      </c>
      <c r="C432" s="7" t="s">
        <v>26</v>
      </c>
      <c r="D432" s="7" t="n">
        <v>134</v>
      </c>
      <c r="E432" s="7" t="n">
        <v>89</v>
      </c>
      <c r="F432" s="7" t="n">
        <f aca="false">ROUND(D432*E432/100,0)</f>
        <v>119</v>
      </c>
      <c r="G432" s="7" t="str">
        <f aca="false">IF(OR(B432="ESP",B432="ARG"),"Finalist","Non-finalist")</f>
        <v>Non-finalist</v>
      </c>
    </row>
    <row r="433" customFormat="false" ht="15" hidden="false" customHeight="false" outlineLevel="0" collapsed="false">
      <c r="A433" s="7" t="s">
        <v>503</v>
      </c>
      <c r="B433" s="7" t="s">
        <v>501</v>
      </c>
      <c r="C433" s="7" t="s">
        <v>24</v>
      </c>
      <c r="D433" s="7" t="n">
        <v>103</v>
      </c>
      <c r="E433" s="7" t="n">
        <v>86</v>
      </c>
      <c r="F433" s="7" t="n">
        <f aca="false">ROUND(D433*E433/100,0)</f>
        <v>89</v>
      </c>
      <c r="G433" s="7" t="str">
        <f aca="false">IF(OR(B433="ESP",B433="ARG"),"Finalist","Non-finalist")</f>
        <v>Non-finalist</v>
      </c>
    </row>
    <row r="434" customFormat="false" ht="15" hidden="false" customHeight="false" outlineLevel="0" collapsed="false">
      <c r="A434" s="7" t="s">
        <v>504</v>
      </c>
      <c r="B434" s="7" t="s">
        <v>501</v>
      </c>
      <c r="C434" s="7" t="s">
        <v>24</v>
      </c>
      <c r="D434" s="7" t="n">
        <v>136</v>
      </c>
      <c r="E434" s="7" t="n">
        <v>87</v>
      </c>
      <c r="F434" s="7" t="n">
        <f aca="false">ROUND(D434*E434/100,0)</f>
        <v>118</v>
      </c>
      <c r="G434" s="7" t="str">
        <f aca="false">IF(OR(B434="ESP",B434="ARG"),"Finalist","Non-finalist")</f>
        <v>Non-finalist</v>
      </c>
    </row>
    <row r="435" customFormat="false" ht="15" hidden="false" customHeight="false" outlineLevel="0" collapsed="false">
      <c r="A435" s="7" t="s">
        <v>505</v>
      </c>
      <c r="B435" s="7" t="s">
        <v>501</v>
      </c>
      <c r="C435" s="7" t="s">
        <v>26</v>
      </c>
      <c r="D435" s="7" t="n">
        <v>226</v>
      </c>
      <c r="E435" s="7" t="n">
        <v>94</v>
      </c>
      <c r="F435" s="7" t="n">
        <f aca="false">ROUND(D435*E435/100,0)</f>
        <v>212</v>
      </c>
      <c r="G435" s="7" t="str">
        <f aca="false">IF(OR(B435="ESP",B435="ARG"),"Finalist","Non-finalist")</f>
        <v>Non-finalist</v>
      </c>
    </row>
    <row r="436" customFormat="false" ht="15" hidden="false" customHeight="false" outlineLevel="0" collapsed="false">
      <c r="A436" s="7" t="s">
        <v>506</v>
      </c>
      <c r="B436" s="7" t="s">
        <v>501</v>
      </c>
      <c r="C436" s="7" t="s">
        <v>24</v>
      </c>
      <c r="D436" s="7" t="n">
        <v>174</v>
      </c>
      <c r="E436" s="7" t="n">
        <v>90</v>
      </c>
      <c r="F436" s="7" t="n">
        <f aca="false">ROUND(D436*E436/100,0)</f>
        <v>157</v>
      </c>
      <c r="G436" s="7" t="str">
        <f aca="false">IF(OR(B436="ESP",B436="ARG"),"Finalist","Non-finalist")</f>
        <v>Non-finalist</v>
      </c>
    </row>
    <row r="437" customFormat="false" ht="15" hidden="false" customHeight="false" outlineLevel="0" collapsed="false">
      <c r="A437" s="7" t="s">
        <v>507</v>
      </c>
      <c r="B437" s="7" t="s">
        <v>501</v>
      </c>
      <c r="C437" s="7" t="s">
        <v>26</v>
      </c>
      <c r="D437" s="7" t="n">
        <v>172</v>
      </c>
      <c r="E437" s="7" t="n">
        <v>90</v>
      </c>
      <c r="F437" s="7" t="n">
        <f aca="false">ROUND(D437*E437/100,0)</f>
        <v>155</v>
      </c>
      <c r="G437" s="7" t="str">
        <f aca="false">IF(OR(B437="ESP",B437="ARG"),"Finalist","Non-finalist")</f>
        <v>Non-finalist</v>
      </c>
    </row>
    <row r="438" customFormat="false" ht="15" hidden="false" customHeight="false" outlineLevel="0" collapsed="false">
      <c r="A438" s="7" t="s">
        <v>508</v>
      </c>
      <c r="B438" s="7" t="s">
        <v>509</v>
      </c>
      <c r="C438" s="7" t="s">
        <v>26</v>
      </c>
      <c r="D438" s="7" t="n">
        <v>283</v>
      </c>
      <c r="E438" s="7" t="n">
        <v>90</v>
      </c>
      <c r="F438" s="7" t="n">
        <f aca="false">ROUND(D438*E438/100,0)</f>
        <v>255</v>
      </c>
      <c r="G438" s="7" t="str">
        <f aca="false">IF(OR(B438="ESP",B438="ARG"),"Finalist","Non-finalist")</f>
        <v>Non-finalist</v>
      </c>
    </row>
    <row r="439" customFormat="false" ht="15" hidden="false" customHeight="false" outlineLevel="0" collapsed="false">
      <c r="A439" s="7" t="s">
        <v>510</v>
      </c>
      <c r="B439" s="7" t="s">
        <v>509</v>
      </c>
      <c r="C439" s="7" t="s">
        <v>26</v>
      </c>
      <c r="D439" s="7" t="n">
        <v>221</v>
      </c>
      <c r="E439" s="7" t="n">
        <v>82</v>
      </c>
      <c r="F439" s="7" t="n">
        <f aca="false">ROUND(D439*E439/100,0)</f>
        <v>181</v>
      </c>
      <c r="G439" s="7" t="str">
        <f aca="false">IF(OR(B439="ESP",B439="ARG"),"Finalist","Non-finalist")</f>
        <v>Non-finalist</v>
      </c>
    </row>
    <row r="440" customFormat="false" ht="15" hidden="false" customHeight="false" outlineLevel="0" collapsed="false">
      <c r="A440" s="7" t="s">
        <v>511</v>
      </c>
      <c r="B440" s="7" t="s">
        <v>509</v>
      </c>
      <c r="C440" s="7" t="s">
        <v>26</v>
      </c>
      <c r="D440" s="7" t="n">
        <v>291</v>
      </c>
      <c r="E440" s="7" t="n">
        <v>95</v>
      </c>
      <c r="F440" s="7" t="n">
        <f aca="false">ROUND(D440*E440/100,0)</f>
        <v>276</v>
      </c>
      <c r="G440" s="7" t="str">
        <f aca="false">IF(OR(B440="ESP",B440="ARG"),"Finalist","Non-finalist")</f>
        <v>Non-finalist</v>
      </c>
    </row>
    <row r="441" customFormat="false" ht="15" hidden="false" customHeight="false" outlineLevel="0" collapsed="false">
      <c r="A441" s="7" t="s">
        <v>512</v>
      </c>
      <c r="B441" s="7" t="s">
        <v>509</v>
      </c>
      <c r="C441" s="7" t="s">
        <v>24</v>
      </c>
      <c r="D441" s="7" t="n">
        <v>94</v>
      </c>
      <c r="E441" s="7" t="n">
        <v>84</v>
      </c>
      <c r="F441" s="7" t="n">
        <f aca="false">ROUND(D441*E441/100,0)</f>
        <v>79</v>
      </c>
      <c r="G441" s="7" t="str">
        <f aca="false">IF(OR(B441="ESP",B441="ARG"),"Finalist","Non-finalist")</f>
        <v>Non-finalist</v>
      </c>
    </row>
    <row r="442" customFormat="false" ht="15" hidden="false" customHeight="false" outlineLevel="0" collapsed="false">
      <c r="A442" s="7" t="s">
        <v>513</v>
      </c>
      <c r="B442" s="7" t="s">
        <v>509</v>
      </c>
      <c r="C442" s="7" t="s">
        <v>24</v>
      </c>
      <c r="D442" s="7" t="n">
        <v>163</v>
      </c>
      <c r="E442" s="7" t="n">
        <v>79</v>
      </c>
      <c r="F442" s="7" t="n">
        <f aca="false">ROUND(D442*E442/100,0)</f>
        <v>129</v>
      </c>
      <c r="G442" s="7" t="str">
        <f aca="false">IF(OR(B442="ESP",B442="ARG"),"Finalist","Non-finalist")</f>
        <v>Non-finalist</v>
      </c>
    </row>
    <row r="443" customFormat="false" ht="15" hidden="false" customHeight="false" outlineLevel="0" collapsed="false">
      <c r="A443" s="7" t="s">
        <v>514</v>
      </c>
      <c r="B443" s="7" t="s">
        <v>509</v>
      </c>
      <c r="C443" s="7" t="s">
        <v>28</v>
      </c>
      <c r="D443" s="7" t="n">
        <v>95</v>
      </c>
      <c r="E443" s="7" t="n">
        <v>66</v>
      </c>
      <c r="F443" s="7" t="n">
        <f aca="false">ROUND(D443*E443/100,0)</f>
        <v>63</v>
      </c>
      <c r="G443" s="7" t="str">
        <f aca="false">IF(OR(B443="ESP",B443="ARG"),"Finalist","Non-finalist")</f>
        <v>Non-finalist</v>
      </c>
    </row>
    <row r="444" customFormat="false" ht="15" hidden="false" customHeight="false" outlineLevel="0" collapsed="false">
      <c r="A444" s="7" t="s">
        <v>515</v>
      </c>
      <c r="B444" s="7" t="s">
        <v>509</v>
      </c>
      <c r="C444" s="7" t="s">
        <v>24</v>
      </c>
      <c r="D444" s="7" t="n">
        <v>136</v>
      </c>
      <c r="E444" s="7" t="n">
        <v>84</v>
      </c>
      <c r="F444" s="7" t="n">
        <f aca="false">ROUND(D444*E444/100,0)</f>
        <v>114</v>
      </c>
      <c r="G444" s="7" t="str">
        <f aca="false">IF(OR(B444="ESP",B444="ARG"),"Finalist","Non-finalist")</f>
        <v>Non-finalist</v>
      </c>
    </row>
    <row r="445" customFormat="false" ht="15" hidden="false" customHeight="false" outlineLevel="0" collapsed="false">
      <c r="A445" s="7" t="s">
        <v>516</v>
      </c>
      <c r="B445" s="7" t="s">
        <v>509</v>
      </c>
      <c r="C445" s="7" t="s">
        <v>26</v>
      </c>
      <c r="D445" s="7" t="n">
        <v>102</v>
      </c>
      <c r="E445" s="7" t="n">
        <v>87</v>
      </c>
      <c r="F445" s="7" t="n">
        <f aca="false">ROUND(D445*E445/100,0)</f>
        <v>89</v>
      </c>
      <c r="G445" s="7" t="str">
        <f aca="false">IF(OR(B445="ESP",B445="ARG"),"Finalist","Non-finalist")</f>
        <v>Non-finalist</v>
      </c>
    </row>
    <row r="446" customFormat="false" ht="15" hidden="false" customHeight="false" outlineLevel="0" collapsed="false">
      <c r="A446" s="7" t="s">
        <v>517</v>
      </c>
      <c r="B446" s="7" t="s">
        <v>509</v>
      </c>
      <c r="C446" s="7" t="s">
        <v>26</v>
      </c>
      <c r="D446" s="7" t="n">
        <v>298</v>
      </c>
      <c r="E446" s="7" t="n">
        <v>94</v>
      </c>
      <c r="F446" s="7" t="n">
        <f aca="false">ROUND(D446*E446/100,0)</f>
        <v>280</v>
      </c>
      <c r="G446" s="7" t="str">
        <f aca="false">IF(OR(B446="ESP",B446="ARG"),"Finalist","Non-finalist")</f>
        <v>Non-finalist</v>
      </c>
    </row>
    <row r="447" customFormat="false" ht="15" hidden="false" customHeight="false" outlineLevel="0" collapsed="false">
      <c r="A447" s="7" t="s">
        <v>518</v>
      </c>
      <c r="B447" s="7" t="s">
        <v>509</v>
      </c>
      <c r="C447" s="7" t="s">
        <v>24</v>
      </c>
      <c r="D447" s="7" t="n">
        <v>231</v>
      </c>
      <c r="E447" s="7" t="n">
        <v>91</v>
      </c>
      <c r="F447" s="7" t="n">
        <f aca="false">ROUND(D447*E447/100,0)</f>
        <v>210</v>
      </c>
      <c r="G447" s="7" t="str">
        <f aca="false">IF(OR(B447="ESP",B447="ARG"),"Finalist","Non-finalist")</f>
        <v>Non-finalist</v>
      </c>
    </row>
    <row r="448" customFormat="false" ht="15" hidden="false" customHeight="false" outlineLevel="0" collapsed="false">
      <c r="A448" s="7" t="s">
        <v>519</v>
      </c>
      <c r="B448" s="7" t="s">
        <v>509</v>
      </c>
      <c r="C448" s="7" t="s">
        <v>24</v>
      </c>
      <c r="D448" s="7" t="n">
        <v>220</v>
      </c>
      <c r="E448" s="7" t="n">
        <v>79</v>
      </c>
      <c r="F448" s="7" t="n">
        <f aca="false">ROUND(D448*E448/100,0)</f>
        <v>174</v>
      </c>
      <c r="G448" s="7" t="str">
        <f aca="false">IF(OR(B448="ESP",B448="ARG"),"Finalist","Non-finalist")</f>
        <v>Non-finalist</v>
      </c>
    </row>
    <row r="449" customFormat="false" ht="15" hidden="false" customHeight="false" outlineLevel="0" collapsed="false">
      <c r="A449" s="7" t="s">
        <v>520</v>
      </c>
      <c r="B449" s="7" t="s">
        <v>521</v>
      </c>
      <c r="C449" s="7" t="s">
        <v>26</v>
      </c>
      <c r="D449" s="7" t="n">
        <v>98</v>
      </c>
      <c r="E449" s="7" t="n">
        <v>83</v>
      </c>
      <c r="F449" s="7" t="n">
        <f aca="false">ROUND(D449*E449/100,0)</f>
        <v>81</v>
      </c>
      <c r="G449" s="7" t="str">
        <f aca="false">IF(OR(B449="ESP",B449="ARG"),"Finalist","Non-finalist")</f>
        <v>Non-finalist</v>
      </c>
    </row>
    <row r="450" customFormat="false" ht="15" hidden="false" customHeight="false" outlineLevel="0" collapsed="false">
      <c r="A450" s="7" t="s">
        <v>522</v>
      </c>
      <c r="B450" s="7" t="s">
        <v>521</v>
      </c>
      <c r="C450" s="7" t="s">
        <v>24</v>
      </c>
      <c r="D450" s="7" t="n">
        <v>117</v>
      </c>
      <c r="E450" s="7" t="n">
        <v>88</v>
      </c>
      <c r="F450" s="7" t="n">
        <f aca="false">ROUND(D450*E450/100,0)</f>
        <v>103</v>
      </c>
      <c r="G450" s="7" t="str">
        <f aca="false">IF(OR(B450="ESP",B450="ARG"),"Finalist","Non-finalist")</f>
        <v>Non-finalist</v>
      </c>
    </row>
    <row r="451" customFormat="false" ht="15" hidden="false" customHeight="false" outlineLevel="0" collapsed="false">
      <c r="A451" s="7" t="s">
        <v>523</v>
      </c>
      <c r="B451" s="7" t="s">
        <v>521</v>
      </c>
      <c r="C451" s="7" t="s">
        <v>26</v>
      </c>
      <c r="D451" s="7" t="n">
        <v>123</v>
      </c>
      <c r="E451" s="7" t="n">
        <v>82</v>
      </c>
      <c r="F451" s="7" t="n">
        <f aca="false">ROUND(D451*E451/100,0)</f>
        <v>101</v>
      </c>
      <c r="G451" s="7" t="str">
        <f aca="false">IF(OR(B451="ESP",B451="ARG"),"Finalist","Non-finalist")</f>
        <v>Non-finalist</v>
      </c>
    </row>
    <row r="453" customFormat="false" ht="15" hidden="false" customHeight="false" outlineLevel="0" collapsed="false">
      <c r="A453" s="8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customFormat="false" ht="15" hidden="false" customHeight="false" outlineLevel="0" collapsed="false">
      <c r="A2" s="9" t="s">
        <v>22</v>
      </c>
      <c r="B2" s="9" t="s">
        <v>23</v>
      </c>
      <c r="C2" s="9" t="s">
        <v>24</v>
      </c>
      <c r="D2" s="9" t="n">
        <v>430</v>
      </c>
      <c r="E2" s="9" t="n">
        <v>91</v>
      </c>
      <c r="F2" s="9" t="n">
        <f aca="false">ROUND(D2*E2/100,0)</f>
        <v>391</v>
      </c>
      <c r="G2" s="9" t="str">
        <f aca="false">IF(OR(B2="ESP",B2="ARG"),"Finalist","Non-finalist")</f>
        <v>Finalist</v>
      </c>
    </row>
    <row r="3" customFormat="false" ht="15" hidden="false" customHeight="false" outlineLevel="0" collapsed="false">
      <c r="A3" s="9" t="s">
        <v>27</v>
      </c>
      <c r="B3" s="9" t="s">
        <v>23</v>
      </c>
      <c r="C3" s="9" t="s">
        <v>28</v>
      </c>
      <c r="D3" s="9" t="n">
        <v>268</v>
      </c>
      <c r="E3" s="9" t="n">
        <v>73</v>
      </c>
      <c r="F3" s="9" t="n">
        <f aca="false">ROUND(D3*E3/100,0)</f>
        <v>196</v>
      </c>
      <c r="G3" s="9" t="str">
        <f aca="false">IF(OR(B3="ESP",B3="ARG"),"Finalist","Non-finalist")</f>
        <v>Finalist</v>
      </c>
    </row>
    <row r="4" customFormat="false" ht="15" hidden="false" customHeight="false" outlineLevel="0" collapsed="false">
      <c r="A4" s="9" t="s">
        <v>29</v>
      </c>
      <c r="B4" s="9" t="s">
        <v>23</v>
      </c>
      <c r="C4" s="9" t="s">
        <v>24</v>
      </c>
      <c r="D4" s="9" t="n">
        <v>519</v>
      </c>
      <c r="E4" s="9" t="n">
        <v>92</v>
      </c>
      <c r="F4" s="9" t="n">
        <f aca="false">ROUND(D4*E4/100,0)</f>
        <v>477</v>
      </c>
      <c r="G4" s="9" t="str">
        <f aca="false">IF(OR(B4="ESP",B4="ARG"),"Finalist","Non-finalist")</f>
        <v>Finalist</v>
      </c>
    </row>
    <row r="5" customFormat="false" ht="15" hidden="false" customHeight="false" outlineLevel="0" collapsed="false">
      <c r="A5" s="9" t="s">
        <v>30</v>
      </c>
      <c r="B5" s="9" t="s">
        <v>23</v>
      </c>
      <c r="C5" s="9" t="s">
        <v>24</v>
      </c>
      <c r="D5" s="9" t="n">
        <v>94</v>
      </c>
      <c r="E5" s="9" t="n">
        <v>95</v>
      </c>
      <c r="F5" s="9" t="n">
        <f aca="false">ROUND(D5*E5/100,0)</f>
        <v>89</v>
      </c>
      <c r="G5" s="9" t="str">
        <f aca="false">IF(OR(B5="ESP",B5="ARG"),"Finalist","Non-finalist")</f>
        <v>Finalist</v>
      </c>
    </row>
    <row r="6" customFormat="false" ht="15" hidden="false" customHeight="false" outlineLevel="0" collapsed="false">
      <c r="A6" s="9" t="s">
        <v>31</v>
      </c>
      <c r="B6" s="9" t="s">
        <v>23</v>
      </c>
      <c r="C6" s="9" t="s">
        <v>26</v>
      </c>
      <c r="D6" s="9" t="n">
        <v>163</v>
      </c>
      <c r="E6" s="9" t="n">
        <v>92</v>
      </c>
      <c r="F6" s="9" t="n">
        <f aca="false">ROUND(D6*E6/100,0)</f>
        <v>150</v>
      </c>
      <c r="G6" s="9" t="str">
        <f aca="false">IF(OR(B6="ESP",B6="ARG"),"Finalist","Non-finalist")</f>
        <v>Finalist</v>
      </c>
    </row>
    <row r="7" customFormat="false" ht="15" hidden="false" customHeight="false" outlineLevel="0" collapsed="false">
      <c r="A7" s="9" t="s">
        <v>32</v>
      </c>
      <c r="B7" s="9" t="s">
        <v>23</v>
      </c>
      <c r="C7" s="9" t="s">
        <v>26</v>
      </c>
      <c r="D7" s="9" t="n">
        <v>100</v>
      </c>
      <c r="E7" s="9" t="n">
        <v>81</v>
      </c>
      <c r="F7" s="9" t="n">
        <f aca="false">ROUND(D7*E7/100,0)</f>
        <v>81</v>
      </c>
      <c r="G7" s="9" t="str">
        <f aca="false">IF(OR(B7="ESP",B7="ARG"),"Finalist","Non-finalist")</f>
        <v>Finalist</v>
      </c>
    </row>
    <row r="8" customFormat="false" ht="15" hidden="false" customHeight="false" outlineLevel="0" collapsed="false">
      <c r="A8" s="9" t="s">
        <v>33</v>
      </c>
      <c r="B8" s="9" t="s">
        <v>23</v>
      </c>
      <c r="C8" s="9" t="s">
        <v>34</v>
      </c>
      <c r="D8" s="9" t="n">
        <v>215</v>
      </c>
      <c r="E8" s="9" t="n">
        <v>85</v>
      </c>
      <c r="F8" s="9" t="n">
        <f aca="false">ROUND(D8*E8/100,0)</f>
        <v>183</v>
      </c>
      <c r="G8" s="9" t="str">
        <f aca="false">IF(OR(B8="ESP",B8="ARG"),"Finalist","Non-finalist")</f>
        <v>Finalist</v>
      </c>
    </row>
    <row r="9" customFormat="false" ht="15" hidden="false" customHeight="false" outlineLevel="0" collapsed="false">
      <c r="A9" s="9" t="s">
        <v>35</v>
      </c>
      <c r="B9" s="9" t="s">
        <v>23</v>
      </c>
      <c r="C9" s="9" t="s">
        <v>24</v>
      </c>
      <c r="D9" s="9" t="n">
        <v>565</v>
      </c>
      <c r="E9" s="9" t="n">
        <v>94</v>
      </c>
      <c r="F9" s="9" t="n">
        <f aca="false">ROUND(D9*E9/100,0)</f>
        <v>531</v>
      </c>
      <c r="G9" s="9" t="str">
        <f aca="false">IF(OR(B9="ESP",B9="ARG"),"Finalist","Non-finalist")</f>
        <v>Finalist</v>
      </c>
    </row>
    <row r="10" customFormat="false" ht="15" hidden="false" customHeight="false" outlineLevel="0" collapsed="false">
      <c r="A10" s="9" t="s">
        <v>36</v>
      </c>
      <c r="B10" s="9" t="s">
        <v>23</v>
      </c>
      <c r="C10" s="9" t="s">
        <v>34</v>
      </c>
      <c r="D10" s="9" t="n">
        <v>367</v>
      </c>
      <c r="E10" s="9" t="n">
        <v>78</v>
      </c>
      <c r="F10" s="9" t="n">
        <f aca="false">ROUND(D10*E10/100,0)</f>
        <v>286</v>
      </c>
      <c r="G10" s="9" t="str">
        <f aca="false">IF(OR(B10="ESP",B10="ARG"),"Finalist","Non-finalist")</f>
        <v>Finalist</v>
      </c>
    </row>
    <row r="11" customFormat="false" ht="15" hidden="false" customHeight="false" outlineLevel="0" collapsed="false">
      <c r="A11" s="9" t="s">
        <v>37</v>
      </c>
      <c r="B11" s="9" t="s">
        <v>23</v>
      </c>
      <c r="C11" s="9" t="s">
        <v>26</v>
      </c>
      <c r="D11" s="9" t="n">
        <v>450</v>
      </c>
      <c r="E11" s="9" t="n">
        <v>94</v>
      </c>
      <c r="F11" s="9" t="n">
        <f aca="false">ROUND(D11*E11/100,0)</f>
        <v>423</v>
      </c>
      <c r="G11" s="9" t="str">
        <f aca="false">IF(OR(B11="ESP",B11="ARG"),"Finalist","Non-finalist")</f>
        <v>Finalist</v>
      </c>
    </row>
    <row r="12" customFormat="false" ht="15" hidden="false" customHeight="false" outlineLevel="0" collapsed="false">
      <c r="A12" s="9" t="s">
        <v>38</v>
      </c>
      <c r="B12" s="9" t="s">
        <v>23</v>
      </c>
      <c r="C12" s="9" t="s">
        <v>26</v>
      </c>
      <c r="D12" s="9" t="n">
        <v>276</v>
      </c>
      <c r="E12" s="9" t="n">
        <v>85</v>
      </c>
      <c r="F12" s="9" t="n">
        <f aca="false">ROUND(D12*E12/100,0)</f>
        <v>235</v>
      </c>
      <c r="G12" s="9" t="str">
        <f aca="false">IF(OR(B12="ESP",B12="ARG"),"Finalist","Non-finalist")</f>
        <v>Finalist</v>
      </c>
    </row>
    <row r="13" customFormat="false" ht="15" hidden="false" customHeight="false" outlineLevel="0" collapsed="false">
      <c r="A13" s="9" t="s">
        <v>39</v>
      </c>
      <c r="B13" s="9" t="s">
        <v>23</v>
      </c>
      <c r="C13" s="9" t="s">
        <v>24</v>
      </c>
      <c r="D13" s="9" t="n">
        <v>109</v>
      </c>
      <c r="E13" s="9" t="n">
        <v>83</v>
      </c>
      <c r="F13" s="9" t="n">
        <f aca="false">ROUND(D13*E13/100,0)</f>
        <v>90</v>
      </c>
      <c r="G13" s="9" t="str">
        <f aca="false">IF(OR(B13="ESP",B13="ARG"),"Finalist","Non-finalist")</f>
        <v>Finalist</v>
      </c>
    </row>
    <row r="14" customFormat="false" ht="15" hidden="false" customHeight="false" outlineLevel="0" collapsed="false">
      <c r="A14" s="9" t="s">
        <v>40</v>
      </c>
      <c r="B14" s="9" t="s">
        <v>23</v>
      </c>
      <c r="C14" s="9" t="s">
        <v>26</v>
      </c>
      <c r="D14" s="9" t="n">
        <v>187</v>
      </c>
      <c r="E14" s="9" t="n">
        <v>95</v>
      </c>
      <c r="F14" s="9" t="n">
        <f aca="false">ROUND(D14*E14/100,0)</f>
        <v>178</v>
      </c>
      <c r="G14" s="9" t="str">
        <f aca="false">IF(OR(B14="ESP",B14="ARG"),"Finalist","Non-finalist")</f>
        <v>Finalist</v>
      </c>
    </row>
    <row r="15" customFormat="false" ht="15" hidden="false" customHeight="false" outlineLevel="0" collapsed="false">
      <c r="A15" s="9" t="s">
        <v>41</v>
      </c>
      <c r="B15" s="9" t="s">
        <v>23</v>
      </c>
      <c r="C15" s="9" t="s">
        <v>26</v>
      </c>
      <c r="D15" s="9" t="n">
        <v>217</v>
      </c>
      <c r="E15" s="9" t="n">
        <v>88</v>
      </c>
      <c r="F15" s="9" t="n">
        <f aca="false">ROUND(D15*E15/100,0)</f>
        <v>191</v>
      </c>
      <c r="G15" s="9" t="str">
        <f aca="false">IF(OR(B15="ESP",B15="ARG"),"Finalist","Non-finalist")</f>
        <v>Finalist</v>
      </c>
    </row>
    <row r="16" customFormat="false" ht="15" hidden="false" customHeight="false" outlineLevel="0" collapsed="false">
      <c r="A16" s="9" t="s">
        <v>42</v>
      </c>
      <c r="B16" s="9" t="s">
        <v>23</v>
      </c>
      <c r="C16" s="9" t="s">
        <v>24</v>
      </c>
      <c r="D16" s="9" t="n">
        <v>327</v>
      </c>
      <c r="E16" s="9" t="n">
        <v>92</v>
      </c>
      <c r="F16" s="9" t="n">
        <f aca="false">ROUND(D16*E16/100,0)</f>
        <v>301</v>
      </c>
      <c r="G16" s="9" t="str">
        <f aca="false">IF(OR(B16="ESP",B16="ARG"),"Finalist","Non-finalist")</f>
        <v>Finalist</v>
      </c>
    </row>
    <row r="17" customFormat="false" ht="15" hidden="false" customHeight="false" outlineLevel="0" collapsed="false">
      <c r="A17" s="9" t="s">
        <v>43</v>
      </c>
      <c r="B17" s="9" t="s">
        <v>23</v>
      </c>
      <c r="C17" s="9" t="s">
        <v>34</v>
      </c>
      <c r="D17" s="9" t="n">
        <v>170</v>
      </c>
      <c r="E17" s="9" t="n">
        <v>91</v>
      </c>
      <c r="F17" s="9" t="n">
        <f aca="false">ROUND(D17*E17/100,0)</f>
        <v>155</v>
      </c>
      <c r="G17" s="9" t="str">
        <f aca="false">IF(OR(B17="ESP",B17="ARG"),"Finalist","Non-finalist")</f>
        <v>Finalist</v>
      </c>
    </row>
    <row r="18" customFormat="false" ht="15" hidden="false" customHeight="false" outlineLevel="0" collapsed="false">
      <c r="A18" s="9" t="s">
        <v>44</v>
      </c>
      <c r="B18" s="9" t="s">
        <v>45</v>
      </c>
      <c r="C18" s="9" t="s">
        <v>24</v>
      </c>
      <c r="D18" s="9" t="n">
        <v>218</v>
      </c>
      <c r="E18" s="9" t="n">
        <v>82</v>
      </c>
      <c r="F18" s="9" t="n">
        <f aca="false">ROUND(D18*E18/100,0)</f>
        <v>179</v>
      </c>
      <c r="G18" s="9" t="str">
        <f aca="false">IF(OR(B18="ESP",B18="ARG"),"Finalist","Non-finalist")</f>
        <v>Finalist</v>
      </c>
    </row>
    <row r="19" customFormat="false" ht="15" hidden="false" customHeight="false" outlineLevel="0" collapsed="false">
      <c r="A19" s="9" t="s">
        <v>46</v>
      </c>
      <c r="B19" s="9" t="s">
        <v>45</v>
      </c>
      <c r="C19" s="9" t="s">
        <v>26</v>
      </c>
      <c r="D19" s="9" t="n">
        <v>660</v>
      </c>
      <c r="E19" s="9" t="n">
        <v>94</v>
      </c>
      <c r="F19" s="9" t="n">
        <f aca="false">ROUND(D19*E19/100,0)</f>
        <v>620</v>
      </c>
      <c r="G19" s="9" t="str">
        <f aca="false">IF(OR(B19="ESP",B19="ARG"),"Finalist","Non-finalist")</f>
        <v>Finalist</v>
      </c>
    </row>
    <row r="20" customFormat="false" ht="15" hidden="false" customHeight="false" outlineLevel="0" collapsed="false">
      <c r="A20" s="9" t="s">
        <v>47</v>
      </c>
      <c r="B20" s="9" t="s">
        <v>45</v>
      </c>
      <c r="C20" s="9" t="s">
        <v>34</v>
      </c>
      <c r="D20" s="9" t="n">
        <v>229</v>
      </c>
      <c r="E20" s="9" t="n">
        <v>90</v>
      </c>
      <c r="F20" s="9" t="n">
        <f aca="false">ROUND(D20*E20/100,0)</f>
        <v>206</v>
      </c>
      <c r="G20" s="9" t="str">
        <f aca="false">IF(OR(B20="ESP",B20="ARG"),"Finalist","Non-finalist")</f>
        <v>Finalist</v>
      </c>
    </row>
    <row r="21" customFormat="false" ht="15" hidden="false" customHeight="false" outlineLevel="0" collapsed="false">
      <c r="A21" s="9" t="s">
        <v>48</v>
      </c>
      <c r="B21" s="9" t="s">
        <v>45</v>
      </c>
      <c r="C21" s="9" t="s">
        <v>24</v>
      </c>
      <c r="D21" s="9" t="n">
        <v>297</v>
      </c>
      <c r="E21" s="9" t="n">
        <v>90</v>
      </c>
      <c r="F21" s="9" t="n">
        <f aca="false">ROUND(D21*E21/100,0)</f>
        <v>267</v>
      </c>
      <c r="G21" s="9" t="str">
        <f aca="false">IF(OR(B21="ESP",B21="ARG"),"Finalist","Non-finalist")</f>
        <v>Finalist</v>
      </c>
    </row>
    <row r="22" customFormat="false" ht="15" hidden="false" customHeight="false" outlineLevel="0" collapsed="false">
      <c r="A22" s="9" t="s">
        <v>49</v>
      </c>
      <c r="B22" s="9" t="s">
        <v>45</v>
      </c>
      <c r="C22" s="9" t="s">
        <v>34</v>
      </c>
      <c r="D22" s="9" t="n">
        <v>86</v>
      </c>
      <c r="E22" s="9" t="n">
        <v>73</v>
      </c>
      <c r="F22" s="9" t="n">
        <f aca="false">ROUND(D22*E22/100,0)</f>
        <v>63</v>
      </c>
      <c r="G22" s="9" t="str">
        <f aca="false">IF(OR(B22="ESP",B22="ARG"),"Finalist","Non-finalist")</f>
        <v>Finalist</v>
      </c>
    </row>
    <row r="23" customFormat="false" ht="15" hidden="false" customHeight="false" outlineLevel="0" collapsed="false">
      <c r="A23" s="9" t="s">
        <v>50</v>
      </c>
      <c r="B23" s="9" t="s">
        <v>45</v>
      </c>
      <c r="C23" s="9" t="s">
        <v>34</v>
      </c>
      <c r="D23" s="9" t="n">
        <v>265</v>
      </c>
      <c r="E23" s="9" t="n">
        <v>85</v>
      </c>
      <c r="F23" s="9" t="n">
        <f aca="false">ROUND(D23*E23/100,0)</f>
        <v>225</v>
      </c>
      <c r="G23" s="9" t="str">
        <f aca="false">IF(OR(B23="ESP",B23="ARG"),"Finalist","Non-finalist")</f>
        <v>Finalist</v>
      </c>
    </row>
    <row r="24" customFormat="false" ht="15" hidden="false" customHeight="false" outlineLevel="0" collapsed="false">
      <c r="A24" s="9" t="s">
        <v>52</v>
      </c>
      <c r="B24" s="9" t="s">
        <v>45</v>
      </c>
      <c r="C24" s="9" t="s">
        <v>26</v>
      </c>
      <c r="D24" s="9" t="n">
        <v>152</v>
      </c>
      <c r="E24" s="9" t="n">
        <v>93</v>
      </c>
      <c r="F24" s="9" t="n">
        <f aca="false">ROUND(D24*E24/100,0)</f>
        <v>141</v>
      </c>
      <c r="G24" s="9" t="str">
        <f aca="false">IF(OR(B24="ESP",B24="ARG"),"Finalist","Non-finalist")</f>
        <v>Finalist</v>
      </c>
    </row>
    <row r="25" customFormat="false" ht="15" hidden="false" customHeight="false" outlineLevel="0" collapsed="false">
      <c r="A25" s="9" t="s">
        <v>53</v>
      </c>
      <c r="B25" s="9" t="s">
        <v>45</v>
      </c>
      <c r="C25" s="9" t="s">
        <v>24</v>
      </c>
      <c r="D25" s="9" t="n">
        <v>101</v>
      </c>
      <c r="E25" s="9" t="n">
        <v>88</v>
      </c>
      <c r="F25" s="9" t="n">
        <f aca="false">ROUND(D25*E25/100,0)</f>
        <v>89</v>
      </c>
      <c r="G25" s="9" t="str">
        <f aca="false">IF(OR(B25="ESP",B25="ARG"),"Finalist","Non-finalist")</f>
        <v>Finalist</v>
      </c>
    </row>
    <row r="26" customFormat="false" ht="15" hidden="false" customHeight="false" outlineLevel="0" collapsed="false">
      <c r="A26" s="9" t="s">
        <v>54</v>
      </c>
      <c r="B26" s="9" t="s">
        <v>45</v>
      </c>
      <c r="C26" s="9" t="s">
        <v>34</v>
      </c>
      <c r="D26" s="9" t="n">
        <v>149</v>
      </c>
      <c r="E26" s="9" t="n">
        <v>83</v>
      </c>
      <c r="F26" s="9" t="n">
        <f aca="false">ROUND(D26*E26/100,0)</f>
        <v>124</v>
      </c>
      <c r="G26" s="9" t="str">
        <f aca="false">IF(OR(B26="ESP",B26="ARG"),"Finalist","Non-finalist")</f>
        <v>Finalist</v>
      </c>
    </row>
    <row r="27" customFormat="false" ht="15" hidden="false" customHeight="false" outlineLevel="0" collapsed="false">
      <c r="A27" s="9" t="s">
        <v>55</v>
      </c>
      <c r="B27" s="9" t="s">
        <v>45</v>
      </c>
      <c r="C27" s="9" t="s">
        <v>26</v>
      </c>
      <c r="D27" s="9" t="n">
        <v>690</v>
      </c>
      <c r="E27" s="9" t="n">
        <v>97</v>
      </c>
      <c r="F27" s="9" t="n">
        <f aca="false">ROUND(D27*E27/100,0)</f>
        <v>669</v>
      </c>
      <c r="G27" s="9" t="str">
        <f aca="false">IF(OR(B27="ESP",B27="ARG"),"Finalist","Non-finalist")</f>
        <v>Finalist</v>
      </c>
    </row>
    <row r="28" customFormat="false" ht="15" hidden="false" customHeight="false" outlineLevel="0" collapsed="false">
      <c r="A28" s="9" t="s">
        <v>56</v>
      </c>
      <c r="B28" s="9" t="s">
        <v>45</v>
      </c>
      <c r="C28" s="9" t="s">
        <v>24</v>
      </c>
      <c r="D28" s="9" t="n">
        <v>469</v>
      </c>
      <c r="E28" s="9" t="n">
        <v>90</v>
      </c>
      <c r="F28" s="9" t="n">
        <f aca="false">ROUND(D28*E28/100,0)</f>
        <v>422</v>
      </c>
      <c r="G28" s="9" t="str">
        <f aca="false">IF(OR(B28="ESP",B28="ARG"),"Finalist","Non-finalist")</f>
        <v>Finalist</v>
      </c>
    </row>
    <row r="29" customFormat="false" ht="15" hidden="false" customHeight="false" outlineLevel="0" collapsed="false">
      <c r="A29" s="9" t="s">
        <v>57</v>
      </c>
      <c r="B29" s="9" t="s">
        <v>45</v>
      </c>
      <c r="C29" s="9" t="s">
        <v>26</v>
      </c>
      <c r="D29" s="9" t="n">
        <v>420</v>
      </c>
      <c r="E29" s="9" t="n">
        <v>90</v>
      </c>
      <c r="F29" s="9" t="n">
        <f aca="false">ROUND(D29*E29/100,0)</f>
        <v>378</v>
      </c>
      <c r="G29" s="9" t="str">
        <f aca="false">IF(OR(B29="ESP",B29="ARG"),"Finalist","Non-finalist")</f>
        <v>Finalist</v>
      </c>
    </row>
    <row r="30" customFormat="false" ht="15" hidden="false" customHeight="false" outlineLevel="0" collapsed="false">
      <c r="A30" s="9" t="s">
        <v>58</v>
      </c>
      <c r="B30" s="9" t="s">
        <v>45</v>
      </c>
      <c r="C30" s="9" t="s">
        <v>24</v>
      </c>
      <c r="D30" s="9" t="n">
        <v>799</v>
      </c>
      <c r="E30" s="9" t="n">
        <v>93</v>
      </c>
      <c r="F30" s="9" t="n">
        <f aca="false">ROUND(D30*E30/100,0)</f>
        <v>743</v>
      </c>
      <c r="G30" s="9" t="str">
        <f aca="false">IF(OR(B30="ESP",B30="ARG"),"Finalist","Non-finalist")</f>
        <v>Finalist</v>
      </c>
    </row>
    <row r="31" customFormat="false" ht="15" hidden="false" customHeight="false" outlineLevel="0" collapsed="false">
      <c r="A31" s="9" t="s">
        <v>59</v>
      </c>
      <c r="B31" s="9" t="s">
        <v>45</v>
      </c>
      <c r="C31" s="9" t="s">
        <v>28</v>
      </c>
      <c r="D31" s="9" t="n">
        <v>314</v>
      </c>
      <c r="E31" s="9" t="n">
        <v>81</v>
      </c>
      <c r="F31" s="9" t="n">
        <f aca="false">ROUND(D31*E31/100,0)</f>
        <v>254</v>
      </c>
      <c r="G31" s="9" t="str">
        <f aca="false">IF(OR(B31="ESP",B31="ARG"),"Finalist","Non-finalist")</f>
        <v>Finalist</v>
      </c>
    </row>
    <row r="32" customFormat="false" ht="15" hidden="false" customHeight="false" outlineLevel="0" collapsed="false">
      <c r="A32" s="10" t="s">
        <v>86</v>
      </c>
      <c r="B32" s="10" t="s">
        <v>83</v>
      </c>
      <c r="C32" s="10" t="s">
        <v>24</v>
      </c>
      <c r="D32" s="10" t="n">
        <v>150</v>
      </c>
      <c r="E32" s="10" t="n">
        <v>87</v>
      </c>
      <c r="F32" s="10" t="n">
        <f aca="false">ROUND(D32*E32/100,0)</f>
        <v>131</v>
      </c>
      <c r="G32" s="10" t="str">
        <f aca="false">IF(OR(B32="ESP",B32="ARG"),"Finalist","Non-finalist")</f>
        <v>Non-finalist</v>
      </c>
    </row>
    <row r="33" customFormat="false" ht="15" hidden="false" customHeight="false" outlineLevel="0" collapsed="false">
      <c r="A33" s="10" t="s">
        <v>97</v>
      </c>
      <c r="B33" s="10" t="s">
        <v>94</v>
      </c>
      <c r="C33" s="10" t="s">
        <v>24</v>
      </c>
      <c r="D33" s="10" t="n">
        <v>164</v>
      </c>
      <c r="E33" s="10" t="n">
        <v>93</v>
      </c>
      <c r="F33" s="10" t="n">
        <f aca="false">ROUND(D33*E33/100,0)</f>
        <v>153</v>
      </c>
      <c r="G33" s="10" t="str">
        <f aca="false">IF(OR(B33="ESP",B33="ARG"),"Finalist","Non-finalist")</f>
        <v>Non-finalist</v>
      </c>
    </row>
    <row r="34" customFormat="false" ht="15" hidden="false" customHeight="false" outlineLevel="0" collapsed="false">
      <c r="A34" s="10" t="s">
        <v>103</v>
      </c>
      <c r="B34" s="10" t="s">
        <v>94</v>
      </c>
      <c r="C34" s="10" t="s">
        <v>24</v>
      </c>
      <c r="D34" s="10" t="n">
        <v>230</v>
      </c>
      <c r="E34" s="10" t="n">
        <v>86</v>
      </c>
      <c r="F34" s="10" t="n">
        <f aca="false">ROUND(D34*E34/100,0)</f>
        <v>198</v>
      </c>
      <c r="G34" s="10" t="str">
        <f aca="false">IF(OR(B34="ESP",B34="ARG"),"Finalist","Non-finalist")</f>
        <v>Non-finalist</v>
      </c>
    </row>
    <row r="35" customFormat="false" ht="15" hidden="false" customHeight="false" outlineLevel="0" collapsed="false">
      <c r="A35" s="10" t="s">
        <v>117</v>
      </c>
      <c r="B35" s="10" t="s">
        <v>109</v>
      </c>
      <c r="C35" s="10" t="s">
        <v>26</v>
      </c>
      <c r="D35" s="10" t="n">
        <v>153</v>
      </c>
      <c r="E35" s="10" t="n">
        <v>90</v>
      </c>
      <c r="F35" s="10" t="n">
        <f aca="false">ROUND(D35*E35/100,0)</f>
        <v>138</v>
      </c>
      <c r="G35" s="10" t="str">
        <f aca="false">IF(OR(B35="ESP",B35="ARG"),"Finalist","Non-finalist")</f>
        <v>Non-finalist</v>
      </c>
    </row>
    <row r="36" customFormat="false" ht="15" hidden="false" customHeight="false" outlineLevel="0" collapsed="false">
      <c r="A36" s="10" t="s">
        <v>126</v>
      </c>
      <c r="B36" s="10" t="s">
        <v>120</v>
      </c>
      <c r="C36" s="10" t="s">
        <v>24</v>
      </c>
      <c r="D36" s="10" t="n">
        <v>190</v>
      </c>
      <c r="E36" s="10" t="n">
        <v>85</v>
      </c>
      <c r="F36" s="10" t="n">
        <f aca="false">ROUND(D36*E36/100,0)</f>
        <v>162</v>
      </c>
      <c r="G36" s="10" t="str">
        <f aca="false">IF(OR(B36="ESP",B36="ARG"),"Finalist","Non-finalist")</f>
        <v>Non-finalist</v>
      </c>
    </row>
    <row r="37" customFormat="false" ht="15" hidden="false" customHeight="false" outlineLevel="0" collapsed="false">
      <c r="A37" s="10" t="s">
        <v>134</v>
      </c>
      <c r="B37" s="10" t="s">
        <v>132</v>
      </c>
      <c r="C37" s="10" t="s">
        <v>24</v>
      </c>
      <c r="D37" s="10" t="n">
        <v>108</v>
      </c>
      <c r="E37" s="10" t="n">
        <v>86</v>
      </c>
      <c r="F37" s="10" t="n">
        <f aca="false">ROUND(D37*E37/100,0)</f>
        <v>93</v>
      </c>
      <c r="G37" s="10" t="str">
        <f aca="false">IF(OR(B37="ESP",B37="ARG"),"Finalist","Non-finalist")</f>
        <v>Non-finalist</v>
      </c>
    </row>
    <row r="38" customFormat="false" ht="15" hidden="false" customHeight="false" outlineLevel="0" collapsed="false">
      <c r="A38" s="10" t="s">
        <v>149</v>
      </c>
      <c r="B38" s="10" t="s">
        <v>144</v>
      </c>
      <c r="C38" s="10" t="s">
        <v>24</v>
      </c>
      <c r="D38" s="10" t="n">
        <v>190</v>
      </c>
      <c r="E38" s="10" t="n">
        <v>91</v>
      </c>
      <c r="F38" s="10" t="n">
        <f aca="false">ROUND(D38*E38/100,0)</f>
        <v>173</v>
      </c>
      <c r="G38" s="10" t="str">
        <f aca="false">IF(OR(B38="ESP",B38="ARG"),"Finalist","Non-finalist")</f>
        <v>Non-finalist</v>
      </c>
    </row>
    <row r="39" customFormat="false" ht="15" hidden="false" customHeight="false" outlineLevel="0" collapsed="false">
      <c r="A39" s="10" t="s">
        <v>165</v>
      </c>
      <c r="B39" s="10" t="s">
        <v>164</v>
      </c>
      <c r="C39" s="10" t="s">
        <v>26</v>
      </c>
      <c r="D39" s="10" t="n">
        <v>213</v>
      </c>
      <c r="E39" s="10" t="n">
        <v>91</v>
      </c>
      <c r="F39" s="10" t="n">
        <f aca="false">ROUND(D39*E39/100,0)</f>
        <v>194</v>
      </c>
      <c r="G39" s="10" t="str">
        <f aca="false">IF(OR(B39="ESP",B39="ARG"),"Finalist","Non-finalist")</f>
        <v>Non-finalist</v>
      </c>
    </row>
    <row r="40" customFormat="false" ht="15" hidden="false" customHeight="false" outlineLevel="0" collapsed="false">
      <c r="A40" s="10" t="s">
        <v>178</v>
      </c>
      <c r="B40" s="10" t="s">
        <v>176</v>
      </c>
      <c r="C40" s="10" t="s">
        <v>24</v>
      </c>
      <c r="D40" s="10" t="n">
        <v>106</v>
      </c>
      <c r="E40" s="10" t="n">
        <v>82</v>
      </c>
      <c r="F40" s="10" t="n">
        <f aca="false">ROUND(D40*E40/100,0)</f>
        <v>87</v>
      </c>
      <c r="G40" s="10" t="str">
        <f aca="false">IF(OR(B40="ESP",B40="ARG"),"Finalist","Non-finalist")</f>
        <v>Non-finalist</v>
      </c>
    </row>
    <row r="41" customFormat="false" ht="15" hidden="false" customHeight="false" outlineLevel="0" collapsed="false">
      <c r="A41" s="10" t="s">
        <v>189</v>
      </c>
      <c r="B41" s="10" t="s">
        <v>185</v>
      </c>
      <c r="C41" s="10" t="s">
        <v>26</v>
      </c>
      <c r="D41" s="10" t="n">
        <v>89</v>
      </c>
      <c r="E41" s="10" t="n">
        <v>87</v>
      </c>
      <c r="F41" s="10" t="n">
        <f aca="false">ROUND(D41*E41/100,0)</f>
        <v>77</v>
      </c>
      <c r="G41" s="10" t="str">
        <f aca="false">IF(OR(B41="ESP",B41="ARG"),"Finalist","Non-finalist")</f>
        <v>Non-finalist</v>
      </c>
    </row>
    <row r="42" customFormat="false" ht="15" hidden="false" customHeight="false" outlineLevel="0" collapsed="false">
      <c r="A42" s="10" t="s">
        <v>192</v>
      </c>
      <c r="B42" s="10" t="s">
        <v>185</v>
      </c>
      <c r="C42" s="10" t="s">
        <v>24</v>
      </c>
      <c r="D42" s="10" t="n">
        <v>93</v>
      </c>
      <c r="E42" s="10" t="n">
        <v>86</v>
      </c>
      <c r="F42" s="10" t="n">
        <f aca="false">ROUND(D42*E42/100,0)</f>
        <v>80</v>
      </c>
      <c r="G42" s="10" t="str">
        <f aca="false">IF(OR(B42="ESP",B42="ARG"),"Finalist","Non-finalist")</f>
        <v>Non-finalist</v>
      </c>
    </row>
    <row r="43" customFormat="false" ht="15" hidden="false" customHeight="false" outlineLevel="0" collapsed="false">
      <c r="A43" s="10" t="s">
        <v>216</v>
      </c>
      <c r="B43" s="10" t="s">
        <v>217</v>
      </c>
      <c r="C43" s="10" t="s">
        <v>26</v>
      </c>
      <c r="D43" s="10" t="n">
        <v>182</v>
      </c>
      <c r="E43" s="10" t="n">
        <v>90</v>
      </c>
      <c r="F43" s="10" t="n">
        <f aca="false">ROUND(D43*E43/100,0)</f>
        <v>164</v>
      </c>
      <c r="G43" s="10" t="str">
        <f aca="false">IF(OR(B43="ESP",B43="ARG"),"Finalist","Non-finalist")</f>
        <v>Non-finalist</v>
      </c>
    </row>
    <row r="44" customFormat="false" ht="15" hidden="false" customHeight="false" outlineLevel="0" collapsed="false">
      <c r="A44" s="10" t="s">
        <v>253</v>
      </c>
      <c r="B44" s="10" t="s">
        <v>248</v>
      </c>
      <c r="C44" s="10" t="s">
        <v>26</v>
      </c>
      <c r="D44" s="10" t="n">
        <v>353</v>
      </c>
      <c r="E44" s="10" t="n">
        <v>89</v>
      </c>
      <c r="F44" s="10" t="n">
        <f aca="false">ROUND(D44*E44/100,0)</f>
        <v>314</v>
      </c>
      <c r="G44" s="10" t="str">
        <f aca="false">IF(OR(B44="ESP",B44="ARG"),"Finalist","Non-finalist")</f>
        <v>Non-finalist</v>
      </c>
    </row>
    <row r="45" customFormat="false" ht="15" hidden="false" customHeight="false" outlineLevel="0" collapsed="false">
      <c r="A45" s="10" t="s">
        <v>261</v>
      </c>
      <c r="B45" s="10" t="s">
        <v>248</v>
      </c>
      <c r="C45" s="10" t="s">
        <v>24</v>
      </c>
      <c r="D45" s="10" t="n">
        <v>104</v>
      </c>
      <c r="E45" s="10" t="n">
        <v>86</v>
      </c>
      <c r="F45" s="10" t="n">
        <f aca="false">ROUND(D45*E45/100,0)</f>
        <v>89</v>
      </c>
      <c r="G45" s="10" t="str">
        <f aca="false">IF(OR(B45="ESP",B45="ARG"),"Finalist","Non-finalist")</f>
        <v>Non-finalist</v>
      </c>
    </row>
    <row r="46" customFormat="false" ht="15" hidden="false" customHeight="false" outlineLevel="0" collapsed="false">
      <c r="A46" s="10" t="s">
        <v>300</v>
      </c>
      <c r="B46" s="10" t="s">
        <v>299</v>
      </c>
      <c r="C46" s="10" t="s">
        <v>24</v>
      </c>
      <c r="D46" s="10" t="n">
        <v>125</v>
      </c>
      <c r="E46" s="10" t="n">
        <v>79</v>
      </c>
      <c r="F46" s="10" t="n">
        <f aca="false">ROUND(D46*E46/100,0)</f>
        <v>99</v>
      </c>
      <c r="G46" s="10" t="str">
        <f aca="false">IF(OR(B46="ESP",B46="ARG"),"Finalist","Non-finalist")</f>
        <v>Non-finalist</v>
      </c>
    </row>
    <row r="47" customFormat="false" ht="15" hidden="false" customHeight="false" outlineLevel="0" collapsed="false">
      <c r="A47" s="10" t="s">
        <v>315</v>
      </c>
      <c r="B47" s="10" t="s">
        <v>309</v>
      </c>
      <c r="C47" s="10" t="s">
        <v>26</v>
      </c>
      <c r="D47" s="10" t="n">
        <v>110</v>
      </c>
      <c r="E47" s="10" t="n">
        <v>97</v>
      </c>
      <c r="F47" s="10" t="n">
        <f aca="false">ROUND(D47*E47/100,0)</f>
        <v>107</v>
      </c>
      <c r="G47" s="10" t="str">
        <f aca="false">IF(OR(B47="ESP",B47="ARG"),"Finalist","Non-finalist")</f>
        <v>Non-finalist</v>
      </c>
    </row>
    <row r="48" customFormat="false" ht="15" hidden="false" customHeight="false" outlineLevel="0" collapsed="false">
      <c r="A48" s="10" t="s">
        <v>323</v>
      </c>
      <c r="B48" s="10" t="s">
        <v>321</v>
      </c>
      <c r="C48" s="10" t="s">
        <v>28</v>
      </c>
      <c r="D48" s="10" t="n">
        <v>116</v>
      </c>
      <c r="E48" s="10" t="n">
        <v>73</v>
      </c>
      <c r="F48" s="10" t="n">
        <f aca="false">ROUND(D48*E48/100,0)</f>
        <v>85</v>
      </c>
      <c r="G48" s="10" t="str">
        <f aca="false">IF(OR(B48="ESP",B48="ARG"),"Finalist","Non-finalist")</f>
        <v>Non-finalist</v>
      </c>
    </row>
    <row r="49" customFormat="false" ht="15" hidden="false" customHeight="false" outlineLevel="0" collapsed="false">
      <c r="A49" s="10" t="s">
        <v>327</v>
      </c>
      <c r="B49" s="10" t="s">
        <v>321</v>
      </c>
      <c r="C49" s="10" t="s">
        <v>24</v>
      </c>
      <c r="D49" s="10" t="n">
        <v>152</v>
      </c>
      <c r="E49" s="10" t="n">
        <v>89</v>
      </c>
      <c r="F49" s="10" t="n">
        <f aca="false">ROUND(D49*E49/100,0)</f>
        <v>135</v>
      </c>
      <c r="G49" s="10" t="str">
        <f aca="false">IF(OR(B49="ESP",B49="ARG"),"Finalist","Non-finalist")</f>
        <v>Non-finalist</v>
      </c>
    </row>
    <row r="50" customFormat="false" ht="15" hidden="false" customHeight="false" outlineLevel="0" collapsed="false">
      <c r="A50" s="10" t="s">
        <v>345</v>
      </c>
      <c r="B50" s="10" t="s">
        <v>337</v>
      </c>
      <c r="C50" s="10" t="s">
        <v>26</v>
      </c>
      <c r="D50" s="10" t="n">
        <v>326</v>
      </c>
      <c r="E50" s="10" t="n">
        <v>92</v>
      </c>
      <c r="F50" s="10" t="n">
        <f aca="false">ROUND(D50*E50/100,0)</f>
        <v>300</v>
      </c>
      <c r="G50" s="10" t="str">
        <f aca="false">IF(OR(B50="ESP",B50="ARG"),"Finalist","Non-finalist")</f>
        <v>Non-finalist</v>
      </c>
    </row>
    <row r="51" customFormat="false" ht="15" hidden="false" customHeight="false" outlineLevel="0" collapsed="false">
      <c r="A51" s="10" t="s">
        <v>378</v>
      </c>
      <c r="B51" s="10" t="s">
        <v>376</v>
      </c>
      <c r="C51" s="10" t="s">
        <v>34</v>
      </c>
      <c r="D51" s="10" t="n">
        <v>83</v>
      </c>
      <c r="E51" s="10" t="n">
        <v>75</v>
      </c>
      <c r="F51" s="10" t="n">
        <f aca="false">ROUND(D51*E51/100,0)</f>
        <v>62</v>
      </c>
      <c r="G51" s="10" t="str">
        <f aca="false">IF(OR(B51="ESP",B51="ARG"),"Finalist","Non-finalist")</f>
        <v>Non-finalist</v>
      </c>
    </row>
    <row r="52" customFormat="false" ht="15" hidden="false" customHeight="false" outlineLevel="0" collapsed="false">
      <c r="A52" s="10" t="s">
        <v>390</v>
      </c>
      <c r="B52" s="10" t="s">
        <v>376</v>
      </c>
      <c r="C52" s="10" t="s">
        <v>26</v>
      </c>
      <c r="D52" s="10" t="n">
        <v>301</v>
      </c>
      <c r="E52" s="10" t="n">
        <v>94</v>
      </c>
      <c r="F52" s="10" t="n">
        <f aca="false">ROUND(D52*E52/100,0)</f>
        <v>283</v>
      </c>
      <c r="G52" s="10" t="str">
        <f aca="false">IF(OR(B52="ESP",B52="ARG"),"Finalist","Non-finalist")</f>
        <v>Non-finalist</v>
      </c>
    </row>
    <row r="53" customFormat="false" ht="15" hidden="false" customHeight="false" outlineLevel="0" collapsed="false">
      <c r="A53" s="10" t="s">
        <v>403</v>
      </c>
      <c r="B53" s="10" t="s">
        <v>402</v>
      </c>
      <c r="C53" s="10" t="s">
        <v>26</v>
      </c>
      <c r="D53" s="10" t="n">
        <v>178</v>
      </c>
      <c r="E53" s="10" t="n">
        <v>83</v>
      </c>
      <c r="F53" s="10" t="n">
        <f aca="false">ROUND(D53*E53/100,0)</f>
        <v>148</v>
      </c>
      <c r="G53" s="10" t="str">
        <f aca="false">IF(OR(B53="ESP",B53="ARG"),"Finalist","Non-finalist")</f>
        <v>Non-finalist</v>
      </c>
    </row>
    <row r="54" customFormat="false" ht="15" hidden="false" customHeight="false" outlineLevel="0" collapsed="false">
      <c r="A54" s="10" t="s">
        <v>409</v>
      </c>
      <c r="B54" s="10" t="s">
        <v>410</v>
      </c>
      <c r="C54" s="10" t="s">
        <v>24</v>
      </c>
      <c r="D54" s="10" t="n">
        <v>117</v>
      </c>
      <c r="E54" s="10" t="n">
        <v>83</v>
      </c>
      <c r="F54" s="10" t="n">
        <f aca="false">ROUND(D54*E54/100,0)</f>
        <v>97</v>
      </c>
      <c r="G54" s="10" t="str">
        <f aca="false">IF(OR(B54="ESP",B54="ARG"),"Finalist","Non-finalist")</f>
        <v>Non-finalist</v>
      </c>
    </row>
    <row r="55" customFormat="false" ht="15" hidden="false" customHeight="false" outlineLevel="0" collapsed="false">
      <c r="A55" s="10" t="s">
        <v>411</v>
      </c>
      <c r="B55" s="10" t="s">
        <v>410</v>
      </c>
      <c r="C55" s="10" t="s">
        <v>24</v>
      </c>
      <c r="D55" s="10" t="n">
        <v>101</v>
      </c>
      <c r="E55" s="10" t="n">
        <v>79</v>
      </c>
      <c r="F55" s="10" t="n">
        <f aca="false">ROUND(D55*E55/100,0)</f>
        <v>80</v>
      </c>
      <c r="G55" s="10" t="str">
        <f aca="false">IF(OR(B55="ESP",B55="ARG"),"Finalist","Non-finalist")</f>
        <v>Non-finalist</v>
      </c>
    </row>
    <row r="56" customFormat="false" ht="15" hidden="false" customHeight="false" outlineLevel="0" collapsed="false">
      <c r="A56" s="10" t="s">
        <v>444</v>
      </c>
      <c r="B56" s="10" t="s">
        <v>437</v>
      </c>
      <c r="C56" s="10" t="s">
        <v>24</v>
      </c>
      <c r="D56" s="10" t="n">
        <v>196</v>
      </c>
      <c r="E56" s="10" t="n">
        <v>90</v>
      </c>
      <c r="F56" s="10" t="n">
        <f aca="false">ROUND(D56*E56/100,0)</f>
        <v>176</v>
      </c>
      <c r="G56" s="10" t="str">
        <f aca="false">IF(OR(B56="ESP",B56="ARG"),"Finalist","Non-finalist")</f>
        <v>Non-finalist</v>
      </c>
    </row>
    <row r="57" customFormat="false" ht="15" hidden="false" customHeight="false" outlineLevel="0" collapsed="false">
      <c r="A57" s="10" t="s">
        <v>454</v>
      </c>
      <c r="B57" s="10" t="s">
        <v>455</v>
      </c>
      <c r="C57" s="10" t="s">
        <v>26</v>
      </c>
      <c r="D57" s="10" t="n">
        <v>89</v>
      </c>
      <c r="E57" s="10" t="n">
        <v>83</v>
      </c>
      <c r="F57" s="10" t="n">
        <f aca="false">ROUND(D57*E57/100,0)</f>
        <v>74</v>
      </c>
      <c r="G57" s="10" t="str">
        <f aca="false">IF(OR(B57="ESP",B57="ARG"),"Finalist","Non-finalist")</f>
        <v>Non-finalist</v>
      </c>
    </row>
    <row r="58" customFormat="false" ht="15" hidden="false" customHeight="false" outlineLevel="0" collapsed="false">
      <c r="A58" s="10" t="s">
        <v>461</v>
      </c>
      <c r="B58" s="10" t="s">
        <v>455</v>
      </c>
      <c r="C58" s="10" t="s">
        <v>26</v>
      </c>
      <c r="D58" s="10" t="n">
        <v>290</v>
      </c>
      <c r="E58" s="10" t="n">
        <v>93</v>
      </c>
      <c r="F58" s="10" t="n">
        <f aca="false">ROUND(D58*E58/100,0)</f>
        <v>270</v>
      </c>
      <c r="G58" s="10" t="str">
        <f aca="false">IF(OR(B58="ESP",B58="ARG"),"Finalist","Non-finalist")</f>
        <v>Non-finalist</v>
      </c>
    </row>
    <row r="59" customFormat="false" ht="15" hidden="false" customHeight="false" outlineLevel="0" collapsed="false">
      <c r="A59" s="10" t="s">
        <v>488</v>
      </c>
      <c r="B59" s="10" t="s">
        <v>485</v>
      </c>
      <c r="C59" s="10" t="s">
        <v>26</v>
      </c>
      <c r="D59" s="10" t="n">
        <v>113</v>
      </c>
      <c r="E59" s="10" t="n">
        <v>95</v>
      </c>
      <c r="F59" s="10" t="n">
        <f aca="false">ROUND(D59*E59/100,0)</f>
        <v>107</v>
      </c>
      <c r="G59" s="10" t="str">
        <f aca="false">IF(OR(B59="ESP",B59="ARG"),"Finalist","Non-finalist")</f>
        <v>Non-finalist</v>
      </c>
    </row>
    <row r="60" customFormat="false" ht="15" hidden="false" customHeight="false" outlineLevel="0" collapsed="false">
      <c r="A60" s="10" t="s">
        <v>515</v>
      </c>
      <c r="B60" s="10" t="s">
        <v>509</v>
      </c>
      <c r="C60" s="10" t="s">
        <v>24</v>
      </c>
      <c r="D60" s="10" t="n">
        <v>136</v>
      </c>
      <c r="E60" s="10" t="n">
        <v>84</v>
      </c>
      <c r="F60" s="10" t="n">
        <f aca="false">ROUND(D60*E60/100,0)</f>
        <v>114</v>
      </c>
      <c r="G60" s="10" t="str">
        <f aca="false">IF(OR(B60="ESP",B60="ARG"),"Finalist","Non-finalist")</f>
        <v>Non-finalist</v>
      </c>
    </row>
    <row r="61" customFormat="false" ht="15" hidden="false" customHeight="false" outlineLevel="0" collapsed="false">
      <c r="A61" s="10" t="s">
        <v>522</v>
      </c>
      <c r="B61" s="10" t="s">
        <v>521</v>
      </c>
      <c r="C61" s="10" t="s">
        <v>24</v>
      </c>
      <c r="D61" s="10" t="n">
        <v>117</v>
      </c>
      <c r="E61" s="10" t="n">
        <v>88</v>
      </c>
      <c r="F61" s="10" t="n">
        <f aca="false">ROUND(D61*E61/100,0)</f>
        <v>103</v>
      </c>
      <c r="G61" s="10" t="str">
        <f aca="false">IF(OR(B61="ESP",B61="ARG"),"Finalist","Non-finalist")</f>
        <v>Non-finalist</v>
      </c>
    </row>
    <row r="63" customFormat="false" ht="15" hidden="false" customHeight="false" outlineLevel="0" collapsed="false">
      <c r="A63" s="8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7" min="6" style="0" width="8"/>
  </cols>
  <sheetData>
    <row r="1" customFormat="false" ht="17.35" hidden="false" customHeight="false" outlineLevel="0" collapsed="false">
      <c r="A1" s="1" t="s">
        <v>526</v>
      </c>
    </row>
    <row r="2" customFormat="false" ht="15" hidden="false" customHeight="false" outlineLevel="0" collapsed="false">
      <c r="A2" s="2" t="s">
        <v>527</v>
      </c>
    </row>
    <row r="4" customFormat="false" ht="15" hidden="false" customHeight="false" outlineLevel="0" collapsed="false">
      <c r="A4" s="6" t="s">
        <v>21</v>
      </c>
      <c r="B4" s="6" t="s">
        <v>528</v>
      </c>
      <c r="C4" s="6" t="s">
        <v>529</v>
      </c>
      <c r="D4" s="6" t="s">
        <v>530</v>
      </c>
      <c r="E4" s="6" t="s">
        <v>531</v>
      </c>
      <c r="F4" s="6" t="s">
        <v>532</v>
      </c>
      <c r="G4" s="6" t="s">
        <v>533</v>
      </c>
    </row>
    <row r="5" customFormat="false" ht="15" hidden="false" customHeight="false" outlineLevel="0" collapsed="false">
      <c r="A5" s="11" t="s">
        <v>534</v>
      </c>
      <c r="B5" s="7" t="n">
        <f aca="false">COUNT('Sample (n=60)'!$E$2:$E$31)</f>
        <v>30</v>
      </c>
      <c r="C5" s="12" t="n">
        <f aca="false">AVERAGE('Sample (n=60)'!$E$2:$E$31)</f>
        <v>87.9333333333333</v>
      </c>
      <c r="D5" s="7" t="n">
        <f aca="false">MEDIAN('Sample (n=60)'!$E$2:$E$31)</f>
        <v>90</v>
      </c>
      <c r="E5" s="12" t="n">
        <f aca="false">STDEV('Sample (n=60)'!$E$2:$E$31)</f>
        <v>6.3784839477155</v>
      </c>
      <c r="F5" s="7" t="n">
        <f aca="false">MIN('Sample (n=60)'!$E$2:$E$31)</f>
        <v>73</v>
      </c>
      <c r="G5" s="7" t="n">
        <f aca="false">MAX('Sample (n=60)'!$E$2:$E$31)</f>
        <v>97</v>
      </c>
    </row>
    <row r="6" customFormat="false" ht="15" hidden="false" customHeight="false" outlineLevel="0" collapsed="false">
      <c r="A6" s="11" t="s">
        <v>535</v>
      </c>
      <c r="B6" s="7" t="n">
        <f aca="false">COUNT('Sample (n=60)'!$E$32:$E$61)</f>
        <v>30</v>
      </c>
      <c r="C6" s="12" t="n">
        <f aca="false">AVERAGE('Sample (n=60)'!$E$32:$E$61)</f>
        <v>86.8666666666667</v>
      </c>
      <c r="D6" s="7" t="n">
        <f aca="false">MEDIAN('Sample (n=60)'!$E$32:$E$61)</f>
        <v>87</v>
      </c>
      <c r="E6" s="12" t="n">
        <f aca="false">STDEV('Sample (n=60)'!$E$32:$E$61)</f>
        <v>5.67956611585496</v>
      </c>
      <c r="F6" s="7" t="n">
        <f aca="false">MIN('Sample (n=60)'!$E$32:$E$61)</f>
        <v>73</v>
      </c>
      <c r="G6" s="7" t="n">
        <f aca="false">MAX('Sample (n=60)'!$E$32:$E$61)</f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536</v>
      </c>
    </row>
    <row r="2" customFormat="false" ht="15" hidden="false" customHeight="false" outlineLevel="0" collapsed="false">
      <c r="A2" s="2" t="s">
        <v>537</v>
      </c>
    </row>
    <row r="4" customFormat="false" ht="15" hidden="false" customHeight="false" outlineLevel="0" collapsed="false">
      <c r="A4" s="7" t="s">
        <v>538</v>
      </c>
      <c r="B4" s="7" t="n">
        <f aca="false">'Descriptive Stats'!B5</f>
        <v>30</v>
      </c>
    </row>
    <row r="5" customFormat="false" ht="15" hidden="false" customHeight="false" outlineLevel="0" collapsed="false">
      <c r="A5" s="7" t="s">
        <v>539</v>
      </c>
      <c r="B5" s="7" t="n">
        <f aca="false">'Descriptive Stats'!B6</f>
        <v>30</v>
      </c>
    </row>
    <row r="6" customFormat="false" ht="15" hidden="false" customHeight="false" outlineLevel="0" collapsed="false">
      <c r="A6" s="7" t="s">
        <v>540</v>
      </c>
      <c r="B6" s="12" t="n">
        <f aca="false">'Descriptive Stats'!C5</f>
        <v>87.9333333333333</v>
      </c>
    </row>
    <row r="7" customFormat="false" ht="15" hidden="false" customHeight="false" outlineLevel="0" collapsed="false">
      <c r="A7" s="7" t="s">
        <v>541</v>
      </c>
      <c r="B7" s="12" t="n">
        <f aca="false">'Descriptive Stats'!C6</f>
        <v>86.8666666666667</v>
      </c>
    </row>
    <row r="8" customFormat="false" ht="15" hidden="false" customHeight="false" outlineLevel="0" collapsed="false">
      <c r="A8" s="7" t="s">
        <v>542</v>
      </c>
      <c r="B8" s="12" t="n">
        <f aca="false">VAR('Sample (n=60)'!$E$2:$E$31)</f>
        <v>40.6850574712644</v>
      </c>
    </row>
    <row r="9" customFormat="false" ht="15" hidden="false" customHeight="false" outlineLevel="0" collapsed="false">
      <c r="A9" s="7" t="s">
        <v>543</v>
      </c>
      <c r="B9" s="12" t="n">
        <f aca="false">VAR('Sample (n=60)'!$E$32:$E$61)</f>
        <v>32.2574712643678</v>
      </c>
    </row>
    <row r="10" customFormat="false" ht="15" hidden="false" customHeight="false" outlineLevel="0" collapsed="false">
      <c r="A10" s="13"/>
      <c r="B10" s="13"/>
    </row>
    <row r="11" customFormat="false" ht="15" hidden="false" customHeight="false" outlineLevel="0" collapsed="false">
      <c r="A11" s="11" t="s">
        <v>544</v>
      </c>
      <c r="B11" s="14" t="n">
        <f aca="false">B6-B7</f>
        <v>1.06666666666668</v>
      </c>
    </row>
    <row r="12" customFormat="false" ht="15" hidden="false" customHeight="false" outlineLevel="0" collapsed="false">
      <c r="A12" s="7" t="s">
        <v>545</v>
      </c>
      <c r="B12" s="12" t="n">
        <f aca="false">SQRT(B8/B4+B9/B5)</f>
        <v>1.55930036379175</v>
      </c>
    </row>
    <row r="13" customFormat="false" ht="15" hidden="false" customHeight="false" outlineLevel="0" collapsed="false">
      <c r="A13" s="7" t="s">
        <v>546</v>
      </c>
      <c r="B13" s="15" t="n">
        <f aca="false">((B8/B4+B9/B5)^2)/(((B8/B4)^2)/(B4-1)+((B9/B5)^2)/(B5-1))</f>
        <v>57.2359640752303</v>
      </c>
    </row>
    <row r="14" customFormat="false" ht="15" hidden="false" customHeight="false" outlineLevel="0" collapsed="false">
      <c r="A14" s="7" t="s">
        <v>547</v>
      </c>
      <c r="B14" s="16" t="n">
        <f aca="false">TINV(0.05,B13)</f>
        <v>2.00246545929101</v>
      </c>
    </row>
    <row r="15" customFormat="false" ht="15" hidden="false" customHeight="false" outlineLevel="0" collapsed="false">
      <c r="A15" s="7" t="s">
        <v>548</v>
      </c>
      <c r="B15" s="12" t="n">
        <f aca="false">B14*B12</f>
        <v>3.12244511915287</v>
      </c>
    </row>
    <row r="16" customFormat="false" ht="15" hidden="false" customHeight="false" outlineLevel="0" collapsed="false">
      <c r="A16" s="7" t="s">
        <v>549</v>
      </c>
      <c r="B16" s="12" t="n">
        <f aca="false">B11-B15</f>
        <v>-2.0557784524862</v>
      </c>
    </row>
    <row r="17" customFormat="false" ht="15" hidden="false" customHeight="false" outlineLevel="0" collapsed="false">
      <c r="A17" s="7" t="s">
        <v>550</v>
      </c>
      <c r="B17" s="12" t="n">
        <f aca="false">B11+B15</f>
        <v>4.18911178581955</v>
      </c>
    </row>
    <row r="18" customFormat="false" ht="15" hidden="false" customHeight="false" outlineLevel="0" collapsed="false">
      <c r="A18" s="7" t="s">
        <v>551</v>
      </c>
      <c r="B18" s="16" t="n">
        <f aca="false">B11/B12</f>
        <v>0.684067477591596</v>
      </c>
    </row>
    <row r="19" customFormat="false" ht="15" hidden="false" customHeight="false" outlineLevel="0" collapsed="false">
      <c r="A19" s="11" t="s">
        <v>552</v>
      </c>
      <c r="B19" s="17" t="n">
        <f aca="false">TTEST('Sample (n=60)'!$E$2:$E$31,'Sample (n=60)'!$E$32:$E$61,2,3)</f>
        <v>0.496692992415919</v>
      </c>
    </row>
    <row r="20" customFormat="false" ht="15" hidden="false" customHeight="false" outlineLevel="0" collapsed="false">
      <c r="A20" s="7" t="s">
        <v>553</v>
      </c>
      <c r="B20" s="12" t="n">
        <f aca="false">0.05</f>
        <v>0.05</v>
      </c>
    </row>
    <row r="21" customFormat="false" ht="15" hidden="false" customHeight="false" outlineLevel="0" collapsed="false">
      <c r="A21" s="13"/>
      <c r="B21" s="13"/>
    </row>
    <row r="22" customFormat="false" ht="15" hidden="false" customHeight="false" outlineLevel="0" collapsed="false">
      <c r="A22" s="11" t="s">
        <v>554</v>
      </c>
      <c r="B22" s="11" t="str">
        <f aca="false">IF(B19&lt;B20,"Reject H0 - significant difference","Fail to reject H0 - not statistically significant")</f>
        <v>Fail to reject H0 - not statistically significant</v>
      </c>
    </row>
    <row r="23" customFormat="false" ht="15" hidden="false" customHeight="false" outlineLevel="0" collapsed="false">
      <c r="A23" s="13"/>
      <c r="B23" s="13"/>
    </row>
    <row r="24" customFormat="false" ht="15" hidden="false" customHeight="false" outlineLevel="0" collapsed="false">
      <c r="A24" s="18" t="s">
        <v>555</v>
      </c>
      <c r="B2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2026-09-09T18:11:52Z</dcterms:created>
  <dc:creator>openpyxl</dc:creator>
  <dc:description/>
  <dc:language>en-US</dc:language>
  <cp:lastModifiedBy/>
  <dcterms:modified xsi:type="dcterms:W3CDTF">2026-09-09T18:11:52Z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